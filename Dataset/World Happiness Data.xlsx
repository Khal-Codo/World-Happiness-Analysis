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nde\OneDrive\Desktop\Data Analysis\"/>
    </mc:Choice>
  </mc:AlternateContent>
  <xr:revisionPtr revIDLastSave="0" documentId="13_ncr:1_{D014A48A-C623-4670-B966-FEB22EEC3023}" xr6:coauthVersionLast="47" xr6:coauthVersionMax="47" xr10:uidLastSave="{00000000-0000-0000-0000-000000000000}"/>
  <bookViews>
    <workbookView xWindow="-108" yWindow="-108" windowWidth="23256" windowHeight="13896" activeTab="3" xr2:uid="{DC53FF5C-8F38-453C-96BF-F720858EEC1D}"/>
  </bookViews>
  <sheets>
    <sheet name="world_happiness_combined" sheetId="2" r:id="rId1"/>
    <sheet name="Cleaned Data 2020 - 2024" sheetId="1" r:id="rId2"/>
    <sheet name="Calculations" sheetId="6" r:id="rId3"/>
    <sheet name="Calculations 2" sheetId="5" r:id="rId4"/>
  </sheets>
  <definedNames>
    <definedName name="_xlnm._FilterDatabase" localSheetId="2" hidden="1">Calculations!$A$173:$H$329</definedName>
    <definedName name="_xlnm._FilterDatabase" localSheetId="1" hidden="1">'Cleaned Data 2020 - 2024'!$A$1:$K$723</definedName>
    <definedName name="ExternalData_1" localSheetId="0" hidden="1">world_happiness_combined!$A$2:$K$1504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5" l="1"/>
  <c r="B55" i="5"/>
  <c r="B56" i="5"/>
  <c r="B57" i="5"/>
  <c r="B58" i="5"/>
  <c r="B59" i="5"/>
  <c r="B60" i="5"/>
  <c r="B61" i="5"/>
  <c r="B62" i="5"/>
  <c r="B63" i="5"/>
  <c r="B54" i="5"/>
  <c r="B262" i="6" a="1"/>
  <c r="B262" i="6" s="1"/>
  <c r="B225" i="6" a="1"/>
  <c r="B225" i="6" s="1"/>
  <c r="E174" i="6" a="1"/>
  <c r="E174" i="6" s="1"/>
  <c r="B218" i="6" a="1"/>
  <c r="B218" i="6" s="1"/>
  <c r="F329" i="6" a="1"/>
  <c r="F329" i="6" s="1"/>
  <c r="B327" i="6" a="1"/>
  <c r="B327" i="6" s="1"/>
  <c r="C327" i="6" a="1"/>
  <c r="C327" i="6" s="1"/>
  <c r="E327" i="6" a="1"/>
  <c r="E327" i="6" s="1"/>
  <c r="F327" i="6" a="1"/>
  <c r="F327" i="6" s="1"/>
  <c r="F176" i="6" a="1"/>
  <c r="F176" i="6" s="1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 s="1"/>
  <c r="F211" i="6" a="1"/>
  <c r="F211" i="6" s="1"/>
  <c r="F213" i="6" a="1"/>
  <c r="F213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 s="1"/>
  <c r="F244" i="6" a="1"/>
  <c r="F244" i="6" s="1"/>
  <c r="F245" i="6" a="1"/>
  <c r="F245" i="6" s="1"/>
  <c r="F246" i="6" a="1"/>
  <c r="F246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9" i="6" a="1"/>
  <c r="F259" i="6" s="1"/>
  <c r="F260" i="6" a="1"/>
  <c r="F260" i="6" s="1"/>
  <c r="F262" i="6" a="1"/>
  <c r="F262" i="6" s="1"/>
  <c r="F263" i="6" a="1"/>
  <c r="F263" i="6" s="1"/>
  <c r="F265" i="6" a="1"/>
  <c r="F265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 s="1"/>
  <c r="F287" i="6" a="1"/>
  <c r="F287" i="6" s="1"/>
  <c r="F288" i="6" a="1"/>
  <c r="F288" i="6" s="1"/>
  <c r="F289" i="6" a="1"/>
  <c r="F289" i="6" s="1"/>
  <c r="F290" i="6" a="1"/>
  <c r="F290" i="6" s="1"/>
  <c r="F291" i="6" a="1"/>
  <c r="F291" i="6" s="1"/>
  <c r="F292" i="6" a="1"/>
  <c r="F292" i="6" s="1"/>
  <c r="F293" i="6" a="1"/>
  <c r="F293" i="6" s="1"/>
  <c r="F294" i="6" a="1"/>
  <c r="F294" i="6" s="1"/>
  <c r="F295" i="6" a="1"/>
  <c r="F295" i="6" s="1"/>
  <c r="F297" i="6" a="1"/>
  <c r="F297" i="6" s="1"/>
  <c r="F298" i="6" a="1"/>
  <c r="F298" i="6" s="1"/>
  <c r="F299" i="6" a="1"/>
  <c r="F299" i="6" s="1"/>
  <c r="F300" i="6" a="1"/>
  <c r="F300" i="6" s="1"/>
  <c r="F301" i="6" a="1"/>
  <c r="F301" i="6" s="1"/>
  <c r="F302" i="6" a="1"/>
  <c r="F302" i="6" s="1"/>
  <c r="F303" i="6" a="1"/>
  <c r="F303" i="6" s="1"/>
  <c r="F304" i="6" a="1"/>
  <c r="F304" i="6" s="1"/>
  <c r="F305" i="6" a="1"/>
  <c r="F305" i="6" s="1"/>
  <c r="F306" i="6" a="1"/>
  <c r="F306" i="6" s="1"/>
  <c r="F307" i="6" a="1"/>
  <c r="F307" i="6" s="1"/>
  <c r="F308" i="6" a="1"/>
  <c r="F308" i="6" s="1"/>
  <c r="F309" i="6" a="1"/>
  <c r="F309" i="6" s="1"/>
  <c r="F310" i="6" a="1"/>
  <c r="F310" i="6" s="1"/>
  <c r="F312" i="6" a="1"/>
  <c r="F312" i="6" s="1"/>
  <c r="F314" i="6" a="1"/>
  <c r="F314" i="6" s="1"/>
  <c r="F315" i="6" a="1"/>
  <c r="F315" i="6" s="1"/>
  <c r="F316" i="6" a="1"/>
  <c r="F316" i="6" s="1"/>
  <c r="F317" i="6" a="1"/>
  <c r="F317" i="6" s="1"/>
  <c r="F318" i="6" a="1"/>
  <c r="F318" i="6" s="1"/>
  <c r="F319" i="6" a="1"/>
  <c r="F319" i="6" s="1"/>
  <c r="F322" i="6" a="1"/>
  <c r="F322" i="6" s="1"/>
  <c r="F324" i="6" a="1"/>
  <c r="F324" i="6" s="1"/>
  <c r="F325" i="6" a="1"/>
  <c r="F325" i="6" s="1"/>
  <c r="F326" i="6" a="1"/>
  <c r="F326" i="6" s="1"/>
  <c r="F175" i="6" a="1"/>
  <c r="F175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8" i="6" a="1"/>
  <c r="E248" i="6" s="1"/>
  <c r="E249" i="6" a="1"/>
  <c r="E249" i="6" s="1"/>
  <c r="E250" i="6" a="1"/>
  <c r="E250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9" i="6" a="1"/>
  <c r="E259" i="6" s="1"/>
  <c r="E262" i="6" a="1"/>
  <c r="E262" i="6" s="1"/>
  <c r="E263" i="6" a="1"/>
  <c r="E263" i="6" s="1"/>
  <c r="E265" i="6" a="1"/>
  <c r="E265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2" i="6" a="1"/>
  <c r="E312" i="6" s="1"/>
  <c r="E315" i="6" a="1"/>
  <c r="E315" i="6" s="1"/>
  <c r="E316" i="6" a="1"/>
  <c r="E316" i="6" s="1"/>
  <c r="E318" i="6" a="1"/>
  <c r="E318" i="6" s="1"/>
  <c r="E319" i="6" a="1"/>
  <c r="E319" i="6" s="1"/>
  <c r="E322" i="6" a="1"/>
  <c r="E322" i="6" s="1"/>
  <c r="E324" i="6" a="1"/>
  <c r="E324" i="6" s="1"/>
  <c r="E325" i="6" a="1"/>
  <c r="E325" i="6" s="1"/>
  <c r="E326" i="6" a="1"/>
  <c r="E326" i="6" s="1"/>
  <c r="E328" i="6" a="1"/>
  <c r="E328" i="6" s="1"/>
  <c r="B328" i="6" s="1"/>
  <c r="E329" i="6" a="1"/>
  <c r="E329" i="6" s="1"/>
  <c r="E176" i="6" a="1"/>
  <c r="E176" i="6" s="1"/>
  <c r="D176" i="6" a="1"/>
  <c r="D176" i="6" s="1"/>
  <c r="D177" i="6" a="1"/>
  <c r="D177" i="6" s="1"/>
  <c r="D178" i="6" a="1"/>
  <c r="D178" i="6" s="1"/>
  <c r="D179" i="6" a="1"/>
  <c r="D179" i="6" s="1"/>
  <c r="D180" i="6" a="1"/>
  <c r="D180" i="6" s="1"/>
  <c r="D181" i="6" a="1"/>
  <c r="D181" i="6" s="1"/>
  <c r="D182" i="6" a="1"/>
  <c r="D182" i="6" s="1"/>
  <c r="D183" i="6" a="1"/>
  <c r="D183" i="6" s="1"/>
  <c r="D184" i="6" a="1"/>
  <c r="D184" i="6" s="1"/>
  <c r="D185" i="6" a="1"/>
  <c r="D185" i="6" s="1"/>
  <c r="D186" i="6" a="1"/>
  <c r="D186" i="6" s="1"/>
  <c r="D187" i="6" a="1"/>
  <c r="D187" i="6" s="1"/>
  <c r="D188" i="6" a="1"/>
  <c r="D188" i="6" s="1"/>
  <c r="D189" i="6" a="1"/>
  <c r="D189" i="6" s="1"/>
  <c r="D190" i="6" a="1"/>
  <c r="D190" i="6" s="1"/>
  <c r="D191" i="6" a="1"/>
  <c r="D191" i="6" s="1"/>
  <c r="D192" i="6" a="1"/>
  <c r="D192" i="6" s="1"/>
  <c r="D193" i="6" a="1"/>
  <c r="D193" i="6" s="1"/>
  <c r="D194" i="6" a="1"/>
  <c r="D194" i="6" s="1"/>
  <c r="D195" i="6" a="1"/>
  <c r="D195" i="6" s="1"/>
  <c r="D196" i="6" a="1"/>
  <c r="D196" i="6" s="1"/>
  <c r="D197" i="6" a="1"/>
  <c r="D197" i="6" s="1"/>
  <c r="D198" i="6" a="1"/>
  <c r="D198" i="6" s="1"/>
  <c r="D199" i="6" a="1"/>
  <c r="D199" i="6" s="1"/>
  <c r="D200" i="6" a="1"/>
  <c r="D200" i="6" s="1"/>
  <c r="D201" i="6" a="1"/>
  <c r="D201" i="6" s="1"/>
  <c r="D202" i="6" a="1"/>
  <c r="D202" i="6" s="1"/>
  <c r="D203" i="6" a="1"/>
  <c r="D203" i="6" s="1"/>
  <c r="D204" i="6" a="1"/>
  <c r="D204" i="6" s="1"/>
  <c r="D205" i="6" a="1"/>
  <c r="D205" i="6" s="1"/>
  <c r="D206" i="6" a="1"/>
  <c r="D206" i="6" s="1"/>
  <c r="D207" i="6" a="1"/>
  <c r="D207" i="6" s="1"/>
  <c r="D208" i="6" a="1"/>
  <c r="D208" i="6" s="1"/>
  <c r="D209" i="6" a="1"/>
  <c r="D209" i="6" s="1"/>
  <c r="D210" i="6" a="1"/>
  <c r="D210" i="6" s="1"/>
  <c r="D211" i="6" a="1"/>
  <c r="D211" i="6" s="1"/>
  <c r="D212" i="6" a="1"/>
  <c r="D212" i="6" s="1"/>
  <c r="D213" i="6" a="1"/>
  <c r="D213" i="6" s="1"/>
  <c r="D215" i="6" a="1"/>
  <c r="D215" i="6" s="1"/>
  <c r="D216" i="6" a="1"/>
  <c r="D216" i="6" s="1"/>
  <c r="D217" i="6" a="1"/>
  <c r="D217" i="6" s="1"/>
  <c r="D218" i="6" a="1"/>
  <c r="D218" i="6" s="1"/>
  <c r="D219" i="6" a="1"/>
  <c r="D219" i="6" s="1"/>
  <c r="D220" i="6" a="1"/>
  <c r="D220" i="6" s="1"/>
  <c r="D221" i="6" a="1"/>
  <c r="D221" i="6" s="1"/>
  <c r="D222" i="6" a="1"/>
  <c r="D222" i="6" s="1"/>
  <c r="D223" i="6" a="1"/>
  <c r="D223" i="6" s="1"/>
  <c r="D224" i="6" a="1"/>
  <c r="D224" i="6" s="1"/>
  <c r="D225" i="6" a="1"/>
  <c r="D225" i="6" s="1"/>
  <c r="D226" i="6" a="1"/>
  <c r="D226" i="6" s="1"/>
  <c r="D227" i="6" a="1"/>
  <c r="D227" i="6" s="1"/>
  <c r="D228" i="6" a="1"/>
  <c r="D228" i="6" s="1"/>
  <c r="D229" i="6" a="1"/>
  <c r="D229" i="6" s="1"/>
  <c r="D230" i="6" a="1"/>
  <c r="D230" i="6" s="1"/>
  <c r="D231" i="6" a="1"/>
  <c r="D231" i="6" s="1"/>
  <c r="D232" i="6" a="1"/>
  <c r="D232" i="6" s="1"/>
  <c r="D233" i="6" a="1"/>
  <c r="D233" i="6" s="1"/>
  <c r="D234" i="6" a="1"/>
  <c r="D234" i="6" s="1"/>
  <c r="D235" i="6" a="1"/>
  <c r="D235" i="6" s="1"/>
  <c r="D236" i="6" a="1"/>
  <c r="D236" i="6" s="1"/>
  <c r="D237" i="6" a="1"/>
  <c r="D237" i="6" s="1"/>
  <c r="D238" i="6" a="1"/>
  <c r="D238" i="6" s="1"/>
  <c r="D239" i="6" a="1"/>
  <c r="D239" i="6" s="1"/>
  <c r="D240" i="6" a="1"/>
  <c r="D240" i="6" s="1"/>
  <c r="D241" i="6" a="1"/>
  <c r="D241" i="6" s="1"/>
  <c r="D242" i="6" a="1"/>
  <c r="D242" i="6" s="1"/>
  <c r="D243" i="6" a="1"/>
  <c r="D243" i="6" s="1"/>
  <c r="D244" i="6" a="1"/>
  <c r="D244" i="6" s="1"/>
  <c r="D245" i="6" a="1"/>
  <c r="D245" i="6" s="1"/>
  <c r="D246" i="6" a="1"/>
  <c r="D246" i="6" s="1"/>
  <c r="D247" i="6" a="1"/>
  <c r="D247" i="6" s="1"/>
  <c r="D248" i="6" a="1"/>
  <c r="D248" i="6" s="1"/>
  <c r="D249" i="6" a="1"/>
  <c r="D249" i="6" s="1"/>
  <c r="D250" i="6" a="1"/>
  <c r="D250" i="6" s="1"/>
  <c r="D251" i="6" a="1"/>
  <c r="D251" i="6" s="1"/>
  <c r="D252" i="6" a="1"/>
  <c r="D252" i="6" s="1"/>
  <c r="D253" i="6" a="1"/>
  <c r="D253" i="6" s="1"/>
  <c r="D254" i="6" a="1"/>
  <c r="D254" i="6" s="1"/>
  <c r="D255" i="6" a="1"/>
  <c r="D255" i="6" s="1"/>
  <c r="D256" i="6" a="1"/>
  <c r="D256" i="6" s="1"/>
  <c r="D257" i="6" a="1"/>
  <c r="D257" i="6" s="1"/>
  <c r="D260" i="6" a="1"/>
  <c r="D260" i="6" s="1"/>
  <c r="D262" i="6" a="1"/>
  <c r="D262" i="6" s="1"/>
  <c r="D263" i="6" a="1"/>
  <c r="D263" i="6" s="1"/>
  <c r="D264" i="6" a="1"/>
  <c r="D264" i="6" s="1"/>
  <c r="D265" i="6" a="1"/>
  <c r="D265" i="6" s="1"/>
  <c r="D266" i="6" a="1"/>
  <c r="D266" i="6" s="1"/>
  <c r="D267" i="6" a="1"/>
  <c r="D267" i="6" s="1"/>
  <c r="D268" i="6" a="1"/>
  <c r="D268" i="6" s="1"/>
  <c r="D269" i="6" a="1"/>
  <c r="D269" i="6" s="1"/>
  <c r="D270" i="6" a="1"/>
  <c r="D270" i="6" s="1"/>
  <c r="D271" i="6" a="1"/>
  <c r="D271" i="6" s="1"/>
  <c r="D272" i="6" a="1"/>
  <c r="D272" i="6" s="1"/>
  <c r="D273" i="6" a="1"/>
  <c r="D273" i="6" s="1"/>
  <c r="D274" i="6" a="1"/>
  <c r="D274" i="6" s="1"/>
  <c r="D275" i="6" a="1"/>
  <c r="D275" i="6" s="1"/>
  <c r="D276" i="6" a="1"/>
  <c r="D276" i="6" s="1"/>
  <c r="D277" i="6" a="1"/>
  <c r="D277" i="6" s="1"/>
  <c r="D278" i="6" a="1"/>
  <c r="D278" i="6" s="1"/>
  <c r="D279" i="6" a="1"/>
  <c r="D279" i="6" s="1"/>
  <c r="D280" i="6" a="1"/>
  <c r="D280" i="6" s="1"/>
  <c r="D281" i="6" a="1"/>
  <c r="D281" i="6" s="1"/>
  <c r="D282" i="6" a="1"/>
  <c r="D282" i="6" s="1"/>
  <c r="D283" i="6" a="1"/>
  <c r="D283" i="6" s="1"/>
  <c r="D284" i="6" a="1"/>
  <c r="D284" i="6" s="1"/>
  <c r="D285" i="6" a="1"/>
  <c r="D285" i="6" s="1"/>
  <c r="D286" i="6" a="1"/>
  <c r="D286" i="6" s="1"/>
  <c r="D287" i="6" a="1"/>
  <c r="D287" i="6" s="1"/>
  <c r="D288" i="6" a="1"/>
  <c r="D288" i="6" s="1"/>
  <c r="D289" i="6" a="1"/>
  <c r="D289" i="6" s="1"/>
  <c r="D290" i="6" a="1"/>
  <c r="D290" i="6" s="1"/>
  <c r="D291" i="6" a="1"/>
  <c r="D291" i="6" s="1"/>
  <c r="D292" i="6" a="1"/>
  <c r="D292" i="6" s="1"/>
  <c r="D293" i="6" a="1"/>
  <c r="D293" i="6" s="1"/>
  <c r="D294" i="6" a="1"/>
  <c r="D294" i="6" s="1"/>
  <c r="D295" i="6" a="1"/>
  <c r="D295" i="6" s="1"/>
  <c r="D296" i="6" a="1"/>
  <c r="D296" i="6" s="1"/>
  <c r="D297" i="6" a="1"/>
  <c r="D297" i="6" s="1"/>
  <c r="D298" i="6" a="1"/>
  <c r="D298" i="6" s="1"/>
  <c r="D299" i="6" a="1"/>
  <c r="D299" i="6" s="1"/>
  <c r="D300" i="6" a="1"/>
  <c r="D300" i="6" s="1"/>
  <c r="D301" i="6" a="1"/>
  <c r="D301" i="6" s="1"/>
  <c r="D303" i="6" a="1"/>
  <c r="D303" i="6" s="1"/>
  <c r="D304" i="6" a="1"/>
  <c r="D304" i="6" s="1"/>
  <c r="D305" i="6" a="1"/>
  <c r="D305" i="6" s="1"/>
  <c r="D306" i="6" a="1"/>
  <c r="D306" i="6" s="1"/>
  <c r="D307" i="6" a="1"/>
  <c r="D307" i="6" s="1"/>
  <c r="D308" i="6" a="1"/>
  <c r="D308" i="6" s="1"/>
  <c r="D309" i="6" a="1"/>
  <c r="D309" i="6" s="1"/>
  <c r="D310" i="6" a="1"/>
  <c r="D310" i="6" s="1"/>
  <c r="D312" i="6" a="1"/>
  <c r="D312" i="6" s="1"/>
  <c r="D314" i="6" a="1"/>
  <c r="D314" i="6" s="1"/>
  <c r="D315" i="6" a="1"/>
  <c r="D315" i="6" s="1"/>
  <c r="D316" i="6" a="1"/>
  <c r="D316" i="6" s="1"/>
  <c r="D317" i="6" a="1"/>
  <c r="D317" i="6" s="1"/>
  <c r="D318" i="6" a="1"/>
  <c r="D318" i="6" s="1"/>
  <c r="D319" i="6" a="1"/>
  <c r="D319" i="6" s="1"/>
  <c r="D321" i="6" a="1"/>
  <c r="D321" i="6" s="1"/>
  <c r="D322" i="6" a="1"/>
  <c r="D322" i="6" s="1"/>
  <c r="D324" i="6" a="1"/>
  <c r="D324" i="6" s="1"/>
  <c r="D325" i="6" a="1"/>
  <c r="D325" i="6" s="1"/>
  <c r="D326" i="6" a="1"/>
  <c r="D326" i="6" s="1"/>
  <c r="D327" i="6" a="1"/>
  <c r="D327" i="6" s="1"/>
  <c r="D175" i="6" a="1"/>
  <c r="D175" i="6" s="1"/>
  <c r="C176" i="6" a="1"/>
  <c r="C176" i="6" s="1"/>
  <c r="C177" i="6" a="1"/>
  <c r="C177" i="6" s="1"/>
  <c r="C178" i="6" a="1"/>
  <c r="C178" i="6" s="1"/>
  <c r="C179" i="6" a="1"/>
  <c r="C179" i="6" s="1"/>
  <c r="C180" i="6" a="1"/>
  <c r="C180" i="6" s="1"/>
  <c r="C181" i="6" a="1"/>
  <c r="C181" i="6" s="1"/>
  <c r="C182" i="6" a="1"/>
  <c r="C182" i="6" s="1"/>
  <c r="C183" i="6" a="1"/>
  <c r="C183" i="6" s="1"/>
  <c r="C184" i="6" a="1"/>
  <c r="C184" i="6" s="1"/>
  <c r="C185" i="6" a="1"/>
  <c r="C185" i="6" s="1"/>
  <c r="C186" i="6" a="1"/>
  <c r="C186" i="6" s="1"/>
  <c r="C187" i="6" a="1"/>
  <c r="C187" i="6" s="1"/>
  <c r="C188" i="6" a="1"/>
  <c r="C188" i="6" s="1"/>
  <c r="C189" i="6" a="1"/>
  <c r="C189" i="6" s="1"/>
  <c r="C190" i="6" a="1"/>
  <c r="C190" i="6" s="1"/>
  <c r="C191" i="6" a="1"/>
  <c r="C191" i="6" s="1"/>
  <c r="C192" i="6" a="1"/>
  <c r="C192" i="6" s="1"/>
  <c r="C193" i="6" a="1"/>
  <c r="C193" i="6" s="1"/>
  <c r="C194" i="6" a="1"/>
  <c r="C194" i="6" s="1"/>
  <c r="C195" i="6" a="1"/>
  <c r="C195" i="6" s="1"/>
  <c r="C196" i="6" a="1"/>
  <c r="C196" i="6" s="1"/>
  <c r="C197" i="6" a="1"/>
  <c r="C197" i="6" s="1"/>
  <c r="C198" i="6" a="1"/>
  <c r="C198" i="6" s="1"/>
  <c r="C199" i="6" a="1"/>
  <c r="C199" i="6" s="1"/>
  <c r="C200" i="6" a="1"/>
  <c r="C200" i="6" s="1"/>
  <c r="C201" i="6" a="1"/>
  <c r="C201" i="6" s="1"/>
  <c r="C202" i="6" a="1"/>
  <c r="C202" i="6" s="1"/>
  <c r="C203" i="6" a="1"/>
  <c r="C203" i="6" s="1"/>
  <c r="C204" i="6" a="1"/>
  <c r="C204" i="6" s="1"/>
  <c r="C205" i="6" a="1"/>
  <c r="C205" i="6" s="1"/>
  <c r="C206" i="6" a="1"/>
  <c r="C206" i="6" s="1"/>
  <c r="C207" i="6" a="1"/>
  <c r="C207" i="6" s="1"/>
  <c r="C208" i="6" a="1"/>
  <c r="C208" i="6" s="1"/>
  <c r="C209" i="6" a="1"/>
  <c r="C209" i="6" s="1"/>
  <c r="C210" i="6" a="1"/>
  <c r="C210" i="6" s="1"/>
  <c r="C211" i="6" a="1"/>
  <c r="C211" i="6" s="1"/>
  <c r="C212" i="6" a="1"/>
  <c r="C212" i="6" s="1"/>
  <c r="C213" i="6" a="1"/>
  <c r="C213" i="6" s="1"/>
  <c r="C215" i="6" a="1"/>
  <c r="C215" i="6" s="1"/>
  <c r="C216" i="6" a="1"/>
  <c r="C216" i="6" s="1"/>
  <c r="C217" i="6" a="1"/>
  <c r="C217" i="6" s="1"/>
  <c r="C218" i="6" a="1"/>
  <c r="C218" i="6" s="1"/>
  <c r="C219" i="6" a="1"/>
  <c r="C219" i="6" s="1"/>
  <c r="C220" i="6" a="1"/>
  <c r="C220" i="6" s="1"/>
  <c r="C221" i="6" a="1"/>
  <c r="C221" i="6" s="1"/>
  <c r="C222" i="6" a="1"/>
  <c r="C222" i="6" s="1"/>
  <c r="C223" i="6" a="1"/>
  <c r="C223" i="6" s="1"/>
  <c r="C224" i="6" a="1"/>
  <c r="C224" i="6" s="1"/>
  <c r="C225" i="6" a="1"/>
  <c r="C225" i="6" s="1"/>
  <c r="C226" i="6" a="1"/>
  <c r="C226" i="6" s="1"/>
  <c r="C227" i="6" a="1"/>
  <c r="C227" i="6" s="1"/>
  <c r="C228" i="6" a="1"/>
  <c r="C228" i="6" s="1"/>
  <c r="C229" i="6" a="1"/>
  <c r="C229" i="6" s="1"/>
  <c r="C230" i="6" a="1"/>
  <c r="C230" i="6" s="1"/>
  <c r="C231" i="6" a="1"/>
  <c r="C231" i="6" s="1"/>
  <c r="C232" i="6" a="1"/>
  <c r="C232" i="6" s="1"/>
  <c r="C233" i="6" a="1"/>
  <c r="C233" i="6" s="1"/>
  <c r="C234" i="6" a="1"/>
  <c r="C234" i="6" s="1"/>
  <c r="C235" i="6" a="1"/>
  <c r="C235" i="6" s="1"/>
  <c r="C236" i="6" a="1"/>
  <c r="C236" i="6" s="1"/>
  <c r="C237" i="6" a="1"/>
  <c r="C237" i="6" s="1"/>
  <c r="C238" i="6" a="1"/>
  <c r="C238" i="6" s="1"/>
  <c r="C239" i="6" a="1"/>
  <c r="C239" i="6" s="1"/>
  <c r="C240" i="6" a="1"/>
  <c r="C240" i="6" s="1"/>
  <c r="C241" i="6" a="1"/>
  <c r="C241" i="6" s="1"/>
  <c r="C242" i="6" a="1"/>
  <c r="C242" i="6" s="1"/>
  <c r="C243" i="6" a="1"/>
  <c r="C243" i="6" s="1"/>
  <c r="C244" i="6" a="1"/>
  <c r="C244" i="6" s="1"/>
  <c r="C245" i="6" a="1"/>
  <c r="C245" i="6" s="1"/>
  <c r="C246" i="6" a="1"/>
  <c r="C246" i="6" s="1"/>
  <c r="C247" i="6" a="1"/>
  <c r="C247" i="6" s="1"/>
  <c r="C248" i="6" a="1"/>
  <c r="C248" i="6" s="1"/>
  <c r="C249" i="6" a="1"/>
  <c r="C249" i="6" s="1"/>
  <c r="C250" i="6" a="1"/>
  <c r="C250" i="6" s="1"/>
  <c r="C251" i="6" a="1"/>
  <c r="C251" i="6" s="1"/>
  <c r="C252" i="6" a="1"/>
  <c r="C252" i="6" s="1"/>
  <c r="C253" i="6" a="1"/>
  <c r="C253" i="6" s="1"/>
  <c r="C254" i="6" a="1"/>
  <c r="C254" i="6" s="1"/>
  <c r="C255" i="6" a="1"/>
  <c r="C255" i="6" s="1"/>
  <c r="C256" i="6" a="1"/>
  <c r="C256" i="6" s="1"/>
  <c r="C257" i="6" a="1"/>
  <c r="C257" i="6" s="1"/>
  <c r="C258" i="6" a="1"/>
  <c r="C258" i="6" s="1"/>
  <c r="C259" i="6" a="1"/>
  <c r="C259" i="6" s="1"/>
  <c r="C260" i="6" a="1"/>
  <c r="C260" i="6" s="1"/>
  <c r="C262" i="6" a="1"/>
  <c r="C262" i="6" s="1"/>
  <c r="C263" i="6" a="1"/>
  <c r="C263" i="6" s="1"/>
  <c r="C264" i="6" a="1"/>
  <c r="C264" i="6" s="1"/>
  <c r="C265" i="6" a="1"/>
  <c r="C265" i="6" s="1"/>
  <c r="C266" i="6" a="1"/>
  <c r="C266" i="6" s="1"/>
  <c r="C267" i="6" a="1"/>
  <c r="C267" i="6" s="1"/>
  <c r="C268" i="6" a="1"/>
  <c r="C268" i="6" s="1"/>
  <c r="C269" i="6" a="1"/>
  <c r="C269" i="6" s="1"/>
  <c r="C270" i="6" a="1"/>
  <c r="C270" i="6" s="1"/>
  <c r="C271" i="6" a="1"/>
  <c r="C271" i="6" s="1"/>
  <c r="C272" i="6" a="1"/>
  <c r="C272" i="6" s="1"/>
  <c r="C273" i="6" a="1"/>
  <c r="C273" i="6" s="1"/>
  <c r="C274" i="6" a="1"/>
  <c r="C274" i="6" s="1"/>
  <c r="C275" i="6" a="1"/>
  <c r="C275" i="6" s="1"/>
  <c r="C276" i="6" a="1"/>
  <c r="C276" i="6" s="1"/>
  <c r="C277" i="6" a="1"/>
  <c r="C277" i="6" s="1"/>
  <c r="C278" i="6" a="1"/>
  <c r="C278" i="6" s="1"/>
  <c r="C279" i="6" a="1"/>
  <c r="C279" i="6" s="1"/>
  <c r="C280" i="6" a="1"/>
  <c r="C280" i="6" s="1"/>
  <c r="C281" i="6" a="1"/>
  <c r="C281" i="6" s="1"/>
  <c r="C282" i="6" a="1"/>
  <c r="C282" i="6" s="1"/>
  <c r="C283" i="6" a="1"/>
  <c r="C283" i="6" s="1"/>
  <c r="C284" i="6" a="1"/>
  <c r="C284" i="6" s="1"/>
  <c r="C285" i="6" a="1"/>
  <c r="C285" i="6" s="1"/>
  <c r="C286" i="6" a="1"/>
  <c r="C286" i="6" s="1"/>
  <c r="C287" i="6" a="1"/>
  <c r="C287" i="6" s="1"/>
  <c r="C288" i="6" a="1"/>
  <c r="C288" i="6" s="1"/>
  <c r="C289" i="6" a="1"/>
  <c r="C289" i="6" s="1"/>
  <c r="C290" i="6" a="1"/>
  <c r="C290" i="6" s="1"/>
  <c r="C291" i="6" a="1"/>
  <c r="C291" i="6" s="1"/>
  <c r="C292" i="6" a="1"/>
  <c r="C292" i="6" s="1"/>
  <c r="C293" i="6" a="1"/>
  <c r="C293" i="6" s="1"/>
  <c r="C294" i="6" a="1"/>
  <c r="C294" i="6" s="1"/>
  <c r="C295" i="6" a="1"/>
  <c r="C295" i="6" s="1"/>
  <c r="C296" i="6" a="1"/>
  <c r="C296" i="6" s="1"/>
  <c r="C297" i="6" a="1"/>
  <c r="C297" i="6" s="1"/>
  <c r="C298" i="6" a="1"/>
  <c r="C298" i="6" s="1"/>
  <c r="C299" i="6" a="1"/>
  <c r="C299" i="6" s="1"/>
  <c r="C300" i="6" a="1"/>
  <c r="C300" i="6" s="1"/>
  <c r="C301" i="6" a="1"/>
  <c r="C301" i="6" s="1"/>
  <c r="C303" i="6" a="1"/>
  <c r="C303" i="6" s="1"/>
  <c r="C304" i="6" a="1"/>
  <c r="C304" i="6" s="1"/>
  <c r="C305" i="6" a="1"/>
  <c r="C305" i="6" s="1"/>
  <c r="C306" i="6" a="1"/>
  <c r="C306" i="6" s="1"/>
  <c r="C307" i="6" a="1"/>
  <c r="C307" i="6" s="1"/>
  <c r="C308" i="6" a="1"/>
  <c r="C308" i="6" s="1"/>
  <c r="C309" i="6" a="1"/>
  <c r="C309" i="6" s="1"/>
  <c r="C310" i="6" a="1"/>
  <c r="C310" i="6" s="1"/>
  <c r="C311" i="6" a="1"/>
  <c r="C311" i="6" s="1"/>
  <c r="C312" i="6" a="1"/>
  <c r="C312" i="6" s="1"/>
  <c r="C313" i="6" a="1"/>
  <c r="C313" i="6" s="1"/>
  <c r="C314" i="6" a="1"/>
  <c r="C314" i="6" s="1"/>
  <c r="C315" i="6" a="1"/>
  <c r="C315" i="6" s="1"/>
  <c r="C316" i="6" a="1"/>
  <c r="C316" i="6" s="1"/>
  <c r="C317" i="6" a="1"/>
  <c r="C317" i="6" s="1"/>
  <c r="C318" i="6" a="1"/>
  <c r="C318" i="6" s="1"/>
  <c r="C319" i="6" a="1"/>
  <c r="C319" i="6" s="1"/>
  <c r="C321" i="6" a="1"/>
  <c r="C321" i="6" s="1"/>
  <c r="C322" i="6" a="1"/>
  <c r="C322" i="6" s="1"/>
  <c r="C324" i="6" a="1"/>
  <c r="C324" i="6" s="1"/>
  <c r="C325" i="6" a="1"/>
  <c r="C325" i="6" s="1"/>
  <c r="C326" i="6" a="1"/>
  <c r="C326" i="6" s="1"/>
  <c r="C175" i="6" a="1"/>
  <c r="C175" i="6" s="1"/>
  <c r="B174" i="6" a="1"/>
  <c r="B174" i="6" s="1"/>
  <c r="E175" i="6" a="1"/>
  <c r="E175" i="6" s="1"/>
  <c r="B326" i="6" a="1"/>
  <c r="B326" i="6" s="1"/>
  <c r="B176" i="6" a="1"/>
  <c r="B176" i="6" s="1"/>
  <c r="B177" i="6" a="1"/>
  <c r="B177" i="6" s="1"/>
  <c r="B178" i="6" a="1"/>
  <c r="B178" i="6" s="1"/>
  <c r="B179" i="6" a="1"/>
  <c r="B179" i="6" s="1"/>
  <c r="B180" i="6" a="1"/>
  <c r="B180" i="6" s="1"/>
  <c r="B181" i="6" a="1"/>
  <c r="B181" i="6" s="1"/>
  <c r="B182" i="6" a="1"/>
  <c r="B182" i="6" s="1"/>
  <c r="B183" i="6" a="1"/>
  <c r="B183" i="6" s="1"/>
  <c r="B184" i="6" a="1"/>
  <c r="B184" i="6" s="1"/>
  <c r="B185" i="6" a="1"/>
  <c r="B185" i="6" s="1"/>
  <c r="B186" i="6" a="1"/>
  <c r="B186" i="6" s="1"/>
  <c r="B187" i="6" a="1"/>
  <c r="B187" i="6" s="1"/>
  <c r="B188" i="6" a="1"/>
  <c r="B188" i="6" s="1"/>
  <c r="B189" i="6" a="1"/>
  <c r="B189" i="6" s="1"/>
  <c r="B190" i="6" a="1"/>
  <c r="B190" i="6" s="1"/>
  <c r="B191" i="6" a="1"/>
  <c r="B191" i="6" s="1"/>
  <c r="B192" i="6" a="1"/>
  <c r="B192" i="6" s="1"/>
  <c r="B193" i="6" a="1"/>
  <c r="B193" i="6" s="1"/>
  <c r="B194" i="6" a="1"/>
  <c r="B194" i="6" s="1"/>
  <c r="B195" i="6" a="1"/>
  <c r="B195" i="6" s="1"/>
  <c r="B196" i="6" a="1"/>
  <c r="B196" i="6" s="1"/>
  <c r="B197" i="6" a="1"/>
  <c r="B197" i="6" s="1"/>
  <c r="B198" i="6" a="1"/>
  <c r="B198" i="6" s="1"/>
  <c r="B199" i="6" a="1"/>
  <c r="B199" i="6" s="1"/>
  <c r="B200" i="6" a="1"/>
  <c r="B200" i="6" s="1"/>
  <c r="B201" i="6" a="1"/>
  <c r="B201" i="6" s="1"/>
  <c r="B202" i="6" a="1"/>
  <c r="B202" i="6" s="1"/>
  <c r="B203" i="6" a="1"/>
  <c r="B203" i="6" s="1"/>
  <c r="B204" i="6" a="1"/>
  <c r="B204" i="6" s="1"/>
  <c r="B205" i="6" a="1"/>
  <c r="B205" i="6" s="1"/>
  <c r="B206" i="6" a="1"/>
  <c r="B206" i="6" s="1"/>
  <c r="B207" i="6" a="1"/>
  <c r="B207" i="6" s="1"/>
  <c r="B208" i="6" a="1"/>
  <c r="B208" i="6" s="1"/>
  <c r="B209" i="6" a="1"/>
  <c r="B209" i="6" s="1"/>
  <c r="B210" i="6" a="1"/>
  <c r="B210" i="6" s="1"/>
  <c r="B211" i="6" a="1"/>
  <c r="B211" i="6" s="1"/>
  <c r="B212" i="6" a="1"/>
  <c r="B212" i="6" s="1"/>
  <c r="F212" i="6" s="1"/>
  <c r="G212" i="6" s="1"/>
  <c r="B213" i="6" a="1"/>
  <c r="B213" i="6" s="1"/>
  <c r="B214" i="6" a="1"/>
  <c r="B214" i="6" s="1"/>
  <c r="C214" i="6" s="1"/>
  <c r="D214" i="6" s="1"/>
  <c r="E214" i="6" s="1"/>
  <c r="F214" i="6" s="1"/>
  <c r="G214" i="6" s="1"/>
  <c r="B215" i="6" a="1"/>
  <c r="B215" i="6" s="1"/>
  <c r="B216" i="6" a="1"/>
  <c r="B216" i="6" s="1"/>
  <c r="B217" i="6" a="1"/>
  <c r="B217" i="6" s="1"/>
  <c r="B219" i="6" a="1"/>
  <c r="B219" i="6" s="1"/>
  <c r="B220" i="6" a="1"/>
  <c r="B220" i="6" s="1"/>
  <c r="B221" i="6" a="1"/>
  <c r="B221" i="6" s="1"/>
  <c r="B222" i="6" a="1"/>
  <c r="B222" i="6" s="1"/>
  <c r="B223" i="6" a="1"/>
  <c r="B223" i="6" s="1"/>
  <c r="B224" i="6" a="1"/>
  <c r="B224" i="6" s="1"/>
  <c r="B226" i="6" a="1"/>
  <c r="B226" i="6" s="1"/>
  <c r="B227" i="6" a="1"/>
  <c r="B227" i="6" s="1"/>
  <c r="B228" i="6" a="1"/>
  <c r="B228" i="6" s="1"/>
  <c r="B229" i="6" a="1"/>
  <c r="B229" i="6" s="1"/>
  <c r="B230" i="6" a="1"/>
  <c r="B230" i="6" s="1"/>
  <c r="B231" i="6" a="1"/>
  <c r="B231" i="6" s="1"/>
  <c r="B232" i="6" a="1"/>
  <c r="B232" i="6" s="1"/>
  <c r="B233" i="6" a="1"/>
  <c r="B233" i="6" s="1"/>
  <c r="B234" i="6" a="1"/>
  <c r="B234" i="6" s="1"/>
  <c r="B235" i="6" a="1"/>
  <c r="B235" i="6" s="1"/>
  <c r="B236" i="6" a="1"/>
  <c r="B236" i="6" s="1"/>
  <c r="B237" i="6" a="1"/>
  <c r="B237" i="6" s="1"/>
  <c r="B238" i="6" a="1"/>
  <c r="B238" i="6" s="1"/>
  <c r="B239" i="6" a="1"/>
  <c r="B239" i="6" s="1"/>
  <c r="B240" i="6" a="1"/>
  <c r="B240" i="6" s="1"/>
  <c r="B241" i="6" a="1"/>
  <c r="B241" i="6" s="1"/>
  <c r="B242" i="6" a="1"/>
  <c r="B242" i="6" s="1"/>
  <c r="B243" i="6" a="1"/>
  <c r="B243" i="6" s="1"/>
  <c r="B244" i="6" a="1"/>
  <c r="B244" i="6" s="1"/>
  <c r="B245" i="6" a="1"/>
  <c r="B245" i="6" s="1"/>
  <c r="B246" i="6" a="1"/>
  <c r="B246" i="6" s="1"/>
  <c r="B247" i="6" a="1"/>
  <c r="B247" i="6" s="1"/>
  <c r="B248" i="6" a="1"/>
  <c r="B248" i="6" s="1"/>
  <c r="B249" i="6" a="1"/>
  <c r="B249" i="6" s="1"/>
  <c r="B250" i="6" a="1"/>
  <c r="B250" i="6" s="1"/>
  <c r="B251" i="6" a="1"/>
  <c r="B251" i="6" s="1"/>
  <c r="B252" i="6" a="1"/>
  <c r="B252" i="6" s="1"/>
  <c r="B253" i="6" a="1"/>
  <c r="B253" i="6" s="1"/>
  <c r="B254" i="6" a="1"/>
  <c r="B254" i="6" s="1"/>
  <c r="B255" i="6" a="1"/>
  <c r="B255" i="6" s="1"/>
  <c r="B256" i="6" a="1"/>
  <c r="B256" i="6" s="1"/>
  <c r="B257" i="6" a="1"/>
  <c r="B257" i="6" s="1"/>
  <c r="B258" i="6" a="1"/>
  <c r="B258" i="6" s="1"/>
  <c r="B259" i="6" a="1"/>
  <c r="B259" i="6" s="1"/>
  <c r="B260" i="6" a="1"/>
  <c r="B260" i="6" s="1"/>
  <c r="B261" i="6" a="1"/>
  <c r="B261" i="6" s="1"/>
  <c r="B263" i="6" a="1"/>
  <c r="B263" i="6" s="1"/>
  <c r="B264" i="6" a="1"/>
  <c r="B264" i="6" s="1"/>
  <c r="B265" i="6" a="1"/>
  <c r="B265" i="6" s="1"/>
  <c r="B266" i="6" a="1"/>
  <c r="B266" i="6" s="1"/>
  <c r="B267" i="6" a="1"/>
  <c r="B267" i="6" s="1"/>
  <c r="B268" i="6" a="1"/>
  <c r="B268" i="6" s="1"/>
  <c r="B269" i="6" a="1"/>
  <c r="B269" i="6" s="1"/>
  <c r="B270" i="6" a="1"/>
  <c r="B270" i="6" s="1"/>
  <c r="B271" i="6" a="1"/>
  <c r="B271" i="6" s="1"/>
  <c r="B272" i="6" a="1"/>
  <c r="B272" i="6" s="1"/>
  <c r="B273" i="6" a="1"/>
  <c r="B273" i="6" s="1"/>
  <c r="B274" i="6" a="1"/>
  <c r="B274" i="6" s="1"/>
  <c r="B275" i="6" a="1"/>
  <c r="B275" i="6" s="1"/>
  <c r="B276" i="6" a="1"/>
  <c r="B276" i="6" s="1"/>
  <c r="B277" i="6" a="1"/>
  <c r="B277" i="6" s="1"/>
  <c r="B278" i="6" a="1"/>
  <c r="B278" i="6" s="1"/>
  <c r="B279" i="6" a="1"/>
  <c r="B279" i="6" s="1"/>
  <c r="B280" i="6" a="1"/>
  <c r="B280" i="6" s="1"/>
  <c r="B281" i="6" a="1"/>
  <c r="B281" i="6" s="1"/>
  <c r="B282" i="6" a="1"/>
  <c r="B282" i="6" s="1"/>
  <c r="B283" i="6" a="1"/>
  <c r="B283" i="6" s="1"/>
  <c r="B284" i="6" a="1"/>
  <c r="B284" i="6" s="1"/>
  <c r="B285" i="6" a="1"/>
  <c r="B285" i="6" s="1"/>
  <c r="B286" i="6" a="1"/>
  <c r="B286" i="6" s="1"/>
  <c r="B287" i="6" a="1"/>
  <c r="B287" i="6" s="1"/>
  <c r="B288" i="6" a="1"/>
  <c r="B288" i="6" s="1"/>
  <c r="B289" i="6" a="1"/>
  <c r="B289" i="6" s="1"/>
  <c r="B290" i="6" a="1"/>
  <c r="B290" i="6" s="1"/>
  <c r="B291" i="6" a="1"/>
  <c r="B291" i="6" s="1"/>
  <c r="B292" i="6" a="1"/>
  <c r="B292" i="6" s="1"/>
  <c r="B293" i="6" a="1"/>
  <c r="B293" i="6" s="1"/>
  <c r="B294" i="6" a="1"/>
  <c r="B294" i="6" s="1"/>
  <c r="B295" i="6" a="1"/>
  <c r="B295" i="6" s="1"/>
  <c r="B296" i="6" a="1"/>
  <c r="B296" i="6" s="1"/>
  <c r="B297" i="6" a="1"/>
  <c r="B297" i="6" s="1"/>
  <c r="B298" i="6" a="1"/>
  <c r="B298" i="6" s="1"/>
  <c r="B299" i="6" a="1"/>
  <c r="B299" i="6" s="1"/>
  <c r="B300" i="6" a="1"/>
  <c r="B300" i="6" s="1"/>
  <c r="B301" i="6" a="1"/>
  <c r="B301" i="6" s="1"/>
  <c r="B302" i="6" a="1"/>
  <c r="B302" i="6" s="1"/>
  <c r="B303" i="6" a="1"/>
  <c r="B303" i="6" s="1"/>
  <c r="B304" i="6" a="1"/>
  <c r="B304" i="6" s="1"/>
  <c r="B305" i="6" a="1"/>
  <c r="B305" i="6" s="1"/>
  <c r="B306" i="6" a="1"/>
  <c r="B306" i="6" s="1"/>
  <c r="B307" i="6" a="1"/>
  <c r="B307" i="6" s="1"/>
  <c r="B308" i="6" a="1"/>
  <c r="B308" i="6" s="1"/>
  <c r="B309" i="6" a="1"/>
  <c r="B309" i="6" s="1"/>
  <c r="B310" i="6" a="1"/>
  <c r="B310" i="6" s="1"/>
  <c r="B311" i="6" a="1"/>
  <c r="B311" i="6" s="1"/>
  <c r="D311" i="6" s="1"/>
  <c r="B312" i="6" a="1"/>
  <c r="B312" i="6" s="1"/>
  <c r="B313" i="6" a="1"/>
  <c r="B313" i="6" s="1"/>
  <c r="B314" i="6" a="1"/>
  <c r="B314" i="6" s="1"/>
  <c r="E314" i="6" s="1"/>
  <c r="B315" i="6" a="1"/>
  <c r="B315" i="6" s="1"/>
  <c r="B316" i="6" a="1"/>
  <c r="B316" i="6" s="1"/>
  <c r="B317" i="6" a="1"/>
  <c r="B317" i="6" s="1"/>
  <c r="B318" i="6" a="1"/>
  <c r="B318" i="6" s="1"/>
  <c r="B319" i="6" a="1"/>
  <c r="B319" i="6" s="1"/>
  <c r="B320" i="6" a="1"/>
  <c r="B320" i="6" s="1"/>
  <c r="C320" i="6" s="1"/>
  <c r="D320" i="6" s="1"/>
  <c r="E320" i="6" s="1"/>
  <c r="F320" i="6" s="1"/>
  <c r="G320" i="6" s="1"/>
  <c r="B321" i="6" a="1"/>
  <c r="B321" i="6" s="1"/>
  <c r="B322" i="6" a="1"/>
  <c r="B322" i="6" s="1"/>
  <c r="B323" i="6" a="1"/>
  <c r="B323" i="6" s="1"/>
  <c r="C323" i="6" s="1"/>
  <c r="D323" i="6" s="1"/>
  <c r="E323" i="6" s="1"/>
  <c r="F323" i="6" s="1"/>
  <c r="G323" i="6" s="1"/>
  <c r="B324" i="6" a="1"/>
  <c r="B324" i="6" s="1"/>
  <c r="B175" i="6" a="1"/>
  <c r="B175" i="6" s="1"/>
  <c r="D174" i="6" a="1"/>
  <c r="D174" i="6" s="1"/>
  <c r="F174" i="6" a="1"/>
  <c r="F174" i="6" s="1"/>
  <c r="C174" i="6" a="1"/>
  <c r="C174" i="6" s="1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4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2" i="6"/>
  <c r="C83" i="6"/>
  <c r="C84" i="6"/>
  <c r="C85" i="6"/>
  <c r="C86" i="6"/>
  <c r="C87" i="6"/>
  <c r="C88" i="6"/>
  <c r="C89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2" i="1"/>
  <c r="G6" i="6"/>
  <c r="G5" i="6"/>
  <c r="F6" i="6"/>
  <c r="F5" i="6"/>
  <c r="E6" i="6"/>
  <c r="E5" i="6"/>
  <c r="D6" i="6"/>
  <c r="D5" i="6"/>
  <c r="C6" i="6"/>
  <c r="C5" i="6"/>
  <c r="B6" i="6"/>
  <c r="B5" i="6"/>
  <c r="G3" i="6"/>
  <c r="F3" i="6"/>
  <c r="E3" i="6"/>
  <c r="D3" i="6"/>
  <c r="C3" i="6"/>
  <c r="B3" i="6"/>
  <c r="G2" i="6"/>
  <c r="F2" i="6"/>
  <c r="E2" i="6"/>
  <c r="D2" i="6"/>
  <c r="C2" i="6"/>
  <c r="B2" i="6"/>
  <c r="J348" i="1"/>
  <c r="J647" i="1"/>
  <c r="B29" i="5"/>
  <c r="B30" i="5"/>
  <c r="B31" i="5"/>
  <c r="B32" i="5"/>
  <c r="B34" i="5"/>
  <c r="B35" i="5"/>
  <c r="B36" i="5"/>
  <c r="B37" i="5"/>
  <c r="B38" i="5"/>
  <c r="B17" i="5"/>
  <c r="B18" i="5"/>
  <c r="B19" i="5"/>
  <c r="B20" i="5"/>
  <c r="B21" i="5"/>
  <c r="B22" i="5"/>
  <c r="B23" i="5"/>
  <c r="B24" i="5"/>
  <c r="B25" i="5"/>
  <c r="B16" i="5"/>
  <c r="B3" i="5"/>
  <c r="B4" i="5"/>
  <c r="B5" i="5"/>
  <c r="B6" i="5"/>
  <c r="B7" i="5"/>
  <c r="B8" i="5"/>
  <c r="B9" i="5"/>
  <c r="B10" i="5"/>
  <c r="B11" i="5"/>
  <c r="B2" i="5"/>
  <c r="H33" i="5"/>
  <c r="H32" i="5"/>
  <c r="H31" i="5"/>
  <c r="H30" i="5"/>
  <c r="H29" i="5"/>
  <c r="H28" i="5"/>
  <c r="H27" i="5"/>
  <c r="H26" i="5"/>
  <c r="H25" i="5"/>
  <c r="H24" i="5"/>
  <c r="D313" i="6" l="1"/>
  <c r="E251" i="6"/>
  <c r="D259" i="6"/>
  <c r="E296" i="6"/>
  <c r="E260" i="6"/>
  <c r="B325" i="6"/>
  <c r="G325" i="6" s="1"/>
  <c r="G174" i="6"/>
  <c r="E303" i="6"/>
  <c r="E220" i="6"/>
  <c r="G326" i="6"/>
  <c r="E317" i="6"/>
  <c r="C302" i="6"/>
  <c r="D302" i="6" s="1"/>
  <c r="F243" i="6"/>
  <c r="G243" i="6" s="1"/>
  <c r="G312" i="6"/>
  <c r="G299" i="6"/>
  <c r="G286" i="6"/>
  <c r="G274" i="6"/>
  <c r="G259" i="6"/>
  <c r="G245" i="6"/>
  <c r="G232" i="6"/>
  <c r="G220" i="6"/>
  <c r="G206" i="6"/>
  <c r="G194" i="6"/>
  <c r="G182" i="6"/>
  <c r="E321" i="6"/>
  <c r="F321" i="6" s="1"/>
  <c r="G321" i="6" s="1"/>
  <c r="G175" i="6"/>
  <c r="G310" i="6"/>
  <c r="G298" i="6"/>
  <c r="G285" i="6"/>
  <c r="G273" i="6"/>
  <c r="G257" i="6"/>
  <c r="G244" i="6"/>
  <c r="G231" i="6"/>
  <c r="G219" i="6"/>
  <c r="G205" i="6"/>
  <c r="G193" i="6"/>
  <c r="G181" i="6"/>
  <c r="G309" i="6"/>
  <c r="G297" i="6"/>
  <c r="G284" i="6"/>
  <c r="G272" i="6"/>
  <c r="G256" i="6"/>
  <c r="G242" i="6"/>
  <c r="G230" i="6"/>
  <c r="G218" i="6"/>
  <c r="G204" i="6"/>
  <c r="G192" i="6"/>
  <c r="G180" i="6"/>
  <c r="G308" i="6"/>
  <c r="G295" i="6"/>
  <c r="G283" i="6"/>
  <c r="G271" i="6"/>
  <c r="G255" i="6"/>
  <c r="G241" i="6"/>
  <c r="G229" i="6"/>
  <c r="G217" i="6"/>
  <c r="G203" i="6"/>
  <c r="G191" i="6"/>
  <c r="G179" i="6"/>
  <c r="D258" i="6"/>
  <c r="E258" i="6" s="1"/>
  <c r="F258" i="6" s="1"/>
  <c r="G258" i="6" s="1"/>
  <c r="G324" i="6"/>
  <c r="G307" i="6"/>
  <c r="G294" i="6"/>
  <c r="G282" i="6"/>
  <c r="G270" i="6"/>
  <c r="G254" i="6"/>
  <c r="G240" i="6"/>
  <c r="G228" i="6"/>
  <c r="G216" i="6"/>
  <c r="G202" i="6"/>
  <c r="G190" i="6"/>
  <c r="G178" i="6"/>
  <c r="G322" i="6"/>
  <c r="G306" i="6"/>
  <c r="G293" i="6"/>
  <c r="G281" i="6"/>
  <c r="G269" i="6"/>
  <c r="G253" i="6"/>
  <c r="G239" i="6"/>
  <c r="G227" i="6"/>
  <c r="G215" i="6"/>
  <c r="G201" i="6"/>
  <c r="G189" i="6"/>
  <c r="G177" i="6"/>
  <c r="G319" i="6"/>
  <c r="G305" i="6"/>
  <c r="G292" i="6"/>
  <c r="G280" i="6"/>
  <c r="G268" i="6"/>
  <c r="G252" i="6"/>
  <c r="G238" i="6"/>
  <c r="G226" i="6"/>
  <c r="G213" i="6"/>
  <c r="G200" i="6"/>
  <c r="G188" i="6"/>
  <c r="G176" i="6"/>
  <c r="G318" i="6"/>
  <c r="G304" i="6"/>
  <c r="G291" i="6"/>
  <c r="G279" i="6"/>
  <c r="G267" i="6"/>
  <c r="G251" i="6"/>
  <c r="G237" i="6"/>
  <c r="G225" i="6"/>
  <c r="G211" i="6"/>
  <c r="G199" i="6"/>
  <c r="G187" i="6"/>
  <c r="G327" i="6"/>
  <c r="G317" i="6"/>
  <c r="G303" i="6"/>
  <c r="G290" i="6"/>
  <c r="G278" i="6"/>
  <c r="G265" i="6"/>
  <c r="G250" i="6"/>
  <c r="G236" i="6"/>
  <c r="G224" i="6"/>
  <c r="G210" i="6"/>
  <c r="G198" i="6"/>
  <c r="G186" i="6"/>
  <c r="G316" i="6"/>
  <c r="G302" i="6"/>
  <c r="G289" i="6"/>
  <c r="G277" i="6"/>
  <c r="G263" i="6"/>
  <c r="G249" i="6"/>
  <c r="G235" i="6"/>
  <c r="G223" i="6"/>
  <c r="G209" i="6"/>
  <c r="G197" i="6"/>
  <c r="G185" i="6"/>
  <c r="G315" i="6"/>
  <c r="G301" i="6"/>
  <c r="G288" i="6"/>
  <c r="G276" i="6"/>
  <c r="G262" i="6"/>
  <c r="G248" i="6"/>
  <c r="G234" i="6"/>
  <c r="G222" i="6"/>
  <c r="G208" i="6"/>
  <c r="G196" i="6"/>
  <c r="G184" i="6"/>
  <c r="G314" i="6"/>
  <c r="G300" i="6"/>
  <c r="G287" i="6"/>
  <c r="G275" i="6"/>
  <c r="G260" i="6"/>
  <c r="G246" i="6"/>
  <c r="G233" i="6"/>
  <c r="G221" i="6"/>
  <c r="G207" i="6"/>
  <c r="G195" i="6"/>
  <c r="G183" i="6"/>
  <c r="C328" i="6"/>
  <c r="D328" i="6" s="1"/>
  <c r="E313" i="6"/>
  <c r="F313" i="6" s="1"/>
  <c r="G313" i="6" s="1"/>
  <c r="E311" i="6"/>
  <c r="F311" i="6" s="1"/>
  <c r="G311" i="6" s="1"/>
  <c r="E264" i="6"/>
  <c r="F264" i="6" s="1"/>
  <c r="G264" i="6" s="1"/>
  <c r="F296" i="6"/>
  <c r="G296" i="6" s="1"/>
  <c r="E247" i="6"/>
  <c r="F247" i="6" s="1"/>
  <c r="G247" i="6" s="1"/>
  <c r="E266" i="6"/>
  <c r="F266" i="6" s="1"/>
  <c r="G266" i="6" s="1"/>
  <c r="C261" i="6"/>
  <c r="D261" i="6" s="1"/>
  <c r="B329" i="6"/>
  <c r="G329" i="6" s="1"/>
  <c r="H2" i="6"/>
  <c r="D135" i="6" s="1"/>
  <c r="C81" i="6"/>
  <c r="C10" i="5"/>
  <c r="C11" i="5"/>
  <c r="C8" i="5"/>
  <c r="H3" i="6"/>
  <c r="C5" i="5"/>
  <c r="B42" i="5"/>
  <c r="C4" i="5"/>
  <c r="C9" i="5"/>
  <c r="C6" i="5"/>
  <c r="C7" i="5"/>
  <c r="C3" i="5"/>
  <c r="C2" i="5"/>
  <c r="B43" i="5"/>
  <c r="B47" i="5"/>
  <c r="B48" i="5"/>
  <c r="B46" i="5"/>
  <c r="B50" i="5"/>
  <c r="B51" i="5"/>
  <c r="C90" i="6"/>
  <c r="D90" i="6" s="1"/>
  <c r="B45" i="5"/>
  <c r="B49" i="5"/>
  <c r="B44" i="5"/>
  <c r="H5" i="6"/>
  <c r="B33" i="5"/>
  <c r="F7" i="6"/>
  <c r="F9" i="6" s="1"/>
  <c r="E7" i="6"/>
  <c r="E10" i="6" s="1"/>
  <c r="G7" i="6"/>
  <c r="G10" i="6" s="1"/>
  <c r="C7" i="6"/>
  <c r="C10" i="6" s="1"/>
  <c r="H6" i="6"/>
  <c r="B7" i="6"/>
  <c r="B9" i="6" s="1"/>
  <c r="D7" i="6"/>
  <c r="D9" i="6" s="1"/>
  <c r="F10" i="5"/>
  <c r="F7" i="5"/>
  <c r="F5" i="5"/>
  <c r="F3" i="5"/>
  <c r="F2" i="5"/>
  <c r="F8" i="5"/>
  <c r="F11" i="5"/>
  <c r="F4" i="5"/>
  <c r="F6" i="5"/>
  <c r="F9" i="5"/>
  <c r="B10" i="6" l="1"/>
  <c r="F10" i="6"/>
  <c r="D10" i="6"/>
  <c r="E9" i="6"/>
  <c r="D81" i="6"/>
  <c r="D143" i="6"/>
  <c r="D96" i="6"/>
  <c r="D47" i="6"/>
  <c r="D110" i="6"/>
  <c r="D74" i="6"/>
  <c r="D15" i="6"/>
  <c r="D161" i="6"/>
  <c r="D89" i="6"/>
  <c r="D17" i="6"/>
  <c r="D152" i="6"/>
  <c r="D105" i="6"/>
  <c r="D56" i="6"/>
  <c r="D155" i="6"/>
  <c r="D108" i="6"/>
  <c r="D59" i="6"/>
  <c r="D123" i="6"/>
  <c r="D87" i="6"/>
  <c r="D27" i="6"/>
  <c r="D29" i="6"/>
  <c r="D102" i="6"/>
  <c r="D18" i="6"/>
  <c r="D164" i="6"/>
  <c r="D117" i="6"/>
  <c r="D68" i="6"/>
  <c r="D21" i="6"/>
  <c r="D167" i="6"/>
  <c r="D120" i="6"/>
  <c r="D71" i="6"/>
  <c r="D24" i="6"/>
  <c r="D100" i="6"/>
  <c r="D39" i="6"/>
  <c r="D65" i="6"/>
  <c r="D114" i="6"/>
  <c r="D30" i="6"/>
  <c r="D98" i="6"/>
  <c r="D129" i="6"/>
  <c r="D80" i="6"/>
  <c r="D33" i="6"/>
  <c r="D36" i="6"/>
  <c r="D132" i="6"/>
  <c r="D84" i="6"/>
  <c r="D25" i="6"/>
  <c r="D112" i="6"/>
  <c r="D51" i="6"/>
  <c r="D103" i="6"/>
  <c r="D126" i="6"/>
  <c r="D42" i="6"/>
  <c r="D158" i="6"/>
  <c r="D141" i="6"/>
  <c r="D94" i="6"/>
  <c r="D45" i="6"/>
  <c r="D122" i="6"/>
  <c r="D144" i="6"/>
  <c r="D97" i="6"/>
  <c r="D37" i="6"/>
  <c r="D124" i="6"/>
  <c r="D63" i="6"/>
  <c r="D151" i="6"/>
  <c r="D138" i="6"/>
  <c r="D54" i="6"/>
  <c r="D86" i="6"/>
  <c r="D153" i="6"/>
  <c r="D106" i="6"/>
  <c r="D57" i="6"/>
  <c r="D111" i="6"/>
  <c r="D156" i="6"/>
  <c r="D109" i="6"/>
  <c r="D49" i="6"/>
  <c r="D136" i="6"/>
  <c r="D75" i="6"/>
  <c r="D147" i="6"/>
  <c r="D150" i="6"/>
  <c r="D66" i="6"/>
  <c r="D19" i="6"/>
  <c r="D165" i="6"/>
  <c r="D118" i="6"/>
  <c r="D69" i="6"/>
  <c r="D22" i="6"/>
  <c r="D168" i="6"/>
  <c r="D121" i="6"/>
  <c r="D61" i="6"/>
  <c r="D148" i="6"/>
  <c r="D88" i="6"/>
  <c r="D16" i="6"/>
  <c r="D162" i="6"/>
  <c r="D78" i="6"/>
  <c r="D31" i="6"/>
  <c r="D72" i="6"/>
  <c r="D130" i="6"/>
  <c r="D82" i="6"/>
  <c r="D34" i="6"/>
  <c r="D60" i="6"/>
  <c r="D133" i="6"/>
  <c r="D14" i="6"/>
  <c r="D160" i="6"/>
  <c r="D101" i="6"/>
  <c r="D28" i="6"/>
  <c r="D41" i="6"/>
  <c r="D92" i="6"/>
  <c r="D43" i="6"/>
  <c r="D146" i="6"/>
  <c r="D142" i="6"/>
  <c r="D95" i="6"/>
  <c r="D46" i="6"/>
  <c r="D134" i="6"/>
  <c r="D145" i="6"/>
  <c r="D26" i="6"/>
  <c r="D53" i="6"/>
  <c r="D113" i="6"/>
  <c r="D40" i="6"/>
  <c r="D77" i="6"/>
  <c r="D104" i="6"/>
  <c r="D55" i="6"/>
  <c r="D99" i="6"/>
  <c r="D154" i="6"/>
  <c r="D107" i="6"/>
  <c r="D58" i="6"/>
  <c r="D73" i="6"/>
  <c r="D157" i="6"/>
  <c r="D38" i="6"/>
  <c r="D91" i="6"/>
  <c r="D125" i="6"/>
  <c r="D52" i="6"/>
  <c r="D115" i="6"/>
  <c r="D116" i="6"/>
  <c r="D67" i="6"/>
  <c r="D20" i="6"/>
  <c r="D166" i="6"/>
  <c r="D119" i="6"/>
  <c r="D70" i="6"/>
  <c r="D23" i="6"/>
  <c r="D169" i="6"/>
  <c r="D50" i="6"/>
  <c r="D139" i="6"/>
  <c r="D137" i="6"/>
  <c r="D64" i="6"/>
  <c r="D127" i="6"/>
  <c r="D128" i="6"/>
  <c r="D79" i="6"/>
  <c r="D32" i="6"/>
  <c r="D85" i="6"/>
  <c r="D131" i="6"/>
  <c r="D83" i="6"/>
  <c r="D35" i="6"/>
  <c r="D48" i="6"/>
  <c r="D62" i="6"/>
  <c r="D159" i="6"/>
  <c r="D149" i="6"/>
  <c r="D76" i="6"/>
  <c r="D163" i="6"/>
  <c r="D140" i="6"/>
  <c r="D93" i="6"/>
  <c r="D44" i="6"/>
  <c r="C329" i="6"/>
  <c r="D329" i="6" s="1"/>
  <c r="E261" i="6"/>
  <c r="F261" i="6" s="1"/>
  <c r="G261" i="6" s="1"/>
  <c r="F328" i="6"/>
  <c r="G328" i="6" s="1"/>
  <c r="G9" i="6"/>
  <c r="H7" i="6"/>
  <c r="H10" i="6" s="1"/>
  <c r="C9" i="6"/>
  <c r="G4" i="5"/>
  <c r="G6" i="5"/>
  <c r="G11" i="5"/>
  <c r="G8" i="5"/>
  <c r="G2" i="5"/>
  <c r="G9" i="5"/>
  <c r="G3" i="5"/>
  <c r="G5" i="5"/>
  <c r="G7" i="5"/>
  <c r="G10" i="5"/>
  <c r="H285" i="6" l="1"/>
  <c r="H320" i="6"/>
  <c r="H268" i="6"/>
  <c r="H269" i="6"/>
  <c r="H188" i="6"/>
  <c r="H191" i="6"/>
  <c r="H220" i="6"/>
  <c r="H192" i="6"/>
  <c r="H291" i="6"/>
  <c r="H231" i="6"/>
  <c r="H255" i="6"/>
  <c r="H182" i="6"/>
  <c r="H174" i="6"/>
  <c r="H263" i="6"/>
  <c r="H297" i="6"/>
  <c r="H211" i="6"/>
  <c r="H274" i="6"/>
  <c r="H288" i="6"/>
  <c r="H183" i="6"/>
  <c r="H244" i="6"/>
  <c r="H307" i="6"/>
  <c r="H175" i="6"/>
  <c r="H210" i="6"/>
  <c r="H267" i="6"/>
  <c r="H310" i="6"/>
  <c r="H201" i="6"/>
  <c r="H219" i="6"/>
  <c r="H322" i="6"/>
  <c r="H325" i="6"/>
  <c r="H273" i="6"/>
  <c r="H179" i="6"/>
  <c r="H284" i="6"/>
  <c r="H218" i="6"/>
  <c r="H212" i="6"/>
  <c r="H252" i="6"/>
  <c r="H308" i="6"/>
  <c r="H241" i="6"/>
  <c r="H240" i="6"/>
  <c r="H324" i="6"/>
  <c r="H326" i="6"/>
  <c r="H279" i="6"/>
  <c r="H178" i="6"/>
  <c r="H319" i="6"/>
  <c r="H309" i="6"/>
  <c r="H232" i="6"/>
  <c r="H202" i="6"/>
  <c r="H198" i="6"/>
  <c r="H226" i="6"/>
  <c r="H238" i="6"/>
  <c r="H251" i="6"/>
  <c r="H190" i="6"/>
  <c r="H270" i="6"/>
  <c r="H230" i="6"/>
  <c r="H187" i="6"/>
  <c r="H217" i="6"/>
  <c r="H180" i="6"/>
  <c r="H235" i="6"/>
  <c r="H223" i="6"/>
  <c r="H186" i="6"/>
  <c r="H313" i="6"/>
  <c r="H261" i="6"/>
  <c r="H203" i="6"/>
  <c r="H280" i="6"/>
  <c r="H304" i="6"/>
  <c r="H254" i="6"/>
  <c r="H224" i="6"/>
  <c r="H249" i="6"/>
  <c r="H276" i="6"/>
  <c r="H228" i="6"/>
  <c r="H197" i="6"/>
  <c r="H222" i="6"/>
  <c r="H275" i="6"/>
  <c r="H312" i="6"/>
  <c r="H306" i="6"/>
  <c r="H205" i="6"/>
  <c r="H272" i="6"/>
  <c r="H295" i="6"/>
  <c r="H293" i="6"/>
  <c r="H213" i="6"/>
  <c r="H237" i="6"/>
  <c r="H317" i="6"/>
  <c r="H239" i="6"/>
  <c r="H185" i="6"/>
  <c r="H208" i="6"/>
  <c r="H260" i="6"/>
  <c r="H299" i="6"/>
  <c r="H189" i="6"/>
  <c r="H193" i="6"/>
  <c r="H256" i="6"/>
  <c r="H283" i="6"/>
  <c r="H177" i="6"/>
  <c r="H200" i="6"/>
  <c r="H225" i="6"/>
  <c r="H303" i="6"/>
  <c r="H294" i="6"/>
  <c r="H196" i="6"/>
  <c r="H246" i="6"/>
  <c r="H290" i="6"/>
  <c r="H316" i="6"/>
  <c r="H253" i="6"/>
  <c r="H184" i="6"/>
  <c r="H233" i="6"/>
  <c r="H278" i="6"/>
  <c r="H302" i="6"/>
  <c r="H282" i="6"/>
  <c r="H221" i="6"/>
  <c r="H265" i="6"/>
  <c r="H289" i="6"/>
  <c r="H315" i="6"/>
  <c r="H281" i="6"/>
  <c r="H207" i="6"/>
  <c r="H245" i="6"/>
  <c r="H298" i="6"/>
  <c r="H215" i="6"/>
  <c r="H204" i="6"/>
  <c r="H229" i="6"/>
  <c r="H305" i="6"/>
  <c r="H243" i="6"/>
  <c r="H327" i="6"/>
  <c r="H250" i="6"/>
  <c r="H277" i="6"/>
  <c r="H301" i="6"/>
  <c r="H323" i="6"/>
  <c r="H195" i="6"/>
  <c r="H292" i="6"/>
  <c r="H321" i="6"/>
  <c r="H262" i="6"/>
  <c r="H248" i="6"/>
  <c r="H209" i="6"/>
  <c r="H286" i="6"/>
  <c r="H176" i="6"/>
  <c r="H329" i="6"/>
  <c r="H318" i="6"/>
  <c r="H227" i="6"/>
  <c r="H314" i="6"/>
  <c r="H300" i="6"/>
  <c r="H234" i="6"/>
  <c r="H181" i="6"/>
  <c r="H199" i="6"/>
  <c r="H311" i="6"/>
  <c r="H258" i="6"/>
  <c r="H206" i="6"/>
  <c r="H214" i="6"/>
  <c r="H296" i="6"/>
  <c r="H287" i="6"/>
  <c r="H242" i="6"/>
  <c r="H264" i="6"/>
  <c r="H216" i="6"/>
  <c r="H236" i="6"/>
  <c r="H257" i="6"/>
  <c r="H194" i="6"/>
  <c r="H328" i="6"/>
  <c r="H247" i="6"/>
  <c r="H271" i="6"/>
  <c r="H259" i="6"/>
  <c r="H266" i="6"/>
  <c r="H9" i="6"/>
  <c r="E14" i="6" l="1"/>
  <c r="F1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1F574-82C3-4A41-A07E-C284FFE03A62}" keepAlive="1" name="Query - world_happiness_combined" description="Connection to the 'world_happiness_combined' query in the workbook." type="5" refreshedVersion="8" background="1" saveData="1">
    <dbPr connection="Provider=Microsoft.Mashup.OleDb.1;Data Source=$Workbook$;Location=world_happiness_combined;Extended Properties=&quot;&quot;" command="SELECT * FROM [world_happiness_combin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<sst xmlns="http://schemas.openxmlformats.org/spreadsheetml/2006/main" count="4904" uniqueCount="230">
  <si>
    <t>Ranking</t>
  </si>
  <si>
    <t>Country</t>
  </si>
  <si>
    <t>Regional indicator</t>
  </si>
  <si>
    <t>Happiness 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</si>
  <si>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</si>
  <si>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</si>
  <si>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</si>
  <si>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</si>
  <si>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</si>
  <si>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</si>
  <si>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Year</t>
  </si>
  <si>
    <t>Switzerland</t>
  </si>
  <si>
    <t>Western Europe</t>
  </si>
  <si>
    <t>Iceland</t>
  </si>
  <si>
    <t>Denmark</t>
  </si>
  <si>
    <t>Norway</t>
  </si>
  <si>
    <t>Canada</t>
  </si>
  <si>
    <t>North America and ANZ</t>
  </si>
  <si>
    <t>Finland</t>
  </si>
  <si>
    <t>Netherlands</t>
  </si>
  <si>
    <t>Sweden</t>
  </si>
  <si>
    <t>New Zealand</t>
  </si>
  <si>
    <t>Australia</t>
  </si>
  <si>
    <t>Israel</t>
  </si>
  <si>
    <t>Middle East and North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</si>
  <si>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</si>
  <si>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</si>
  <si>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</si>
  <si>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</si>
  <si>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</si>
  <si>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</si>
  <si>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</si>
  <si>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</si>
  <si>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</si>
  <si>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</si>
  <si>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</si>
  <si>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</si>
  <si>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</si>
  <si>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</si>
  <si>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</si>
  <si>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</si>
  <si>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</si>
  <si>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</si>
  <si>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</si>
  <si>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</si>
  <si>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</si>
  <si>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</si>
  <si>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</si>
  <si>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</si>
  <si>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</si>
  <si>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</si>
  <si>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</si>
  <si>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</si>
  <si>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</si>
  <si>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</si>
  <si>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 Asia</t>
  </si>
  <si>
    <t>Kuwait</t>
  </si>
  <si>
    <t>Suriname</t>
  </si>
  <si>
    <t>Trinidad and Tobago</t>
  </si>
  <si>
    <t>El Salvador</t>
  </si>
  <si>
    <t>Guatemala</t>
  </si>
  <si>
    <t>Uzbekistan</t>
  </si>
  <si>
    <t>Commonwealth of Independent States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</si>
  <si>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</si>
  <si>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</si>
  <si>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</si>
  <si>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</si>
  <si>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</si>
  <si>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</si>
  <si>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</si>
  <si>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</si>
  <si>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</si>
  <si>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</si>
  <si>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</si>
  <si>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</si>
  <si>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</si>
  <si>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</si>
  <si>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</si>
  <si>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</si>
  <si>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</si>
  <si>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</si>
  <si>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</si>
  <si>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</si>
  <si>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</si>
  <si>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</si>
  <si>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</si>
  <si>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</si>
  <si>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</si>
  <si>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</si>
  <si>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</si>
  <si>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</si>
  <si>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</si>
  <si>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</si>
  <si>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</si>
  <si>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</si>
  <si>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</si>
  <si>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</si>
  <si>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</si>
  <si>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</si>
  <si>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 Asia</t>
  </si>
  <si>
    <t>Azerbaijan</t>
  </si>
  <si>
    <t>Pakistan</t>
  </si>
  <si>
    <t>Montenegro</t>
  </si>
  <si>
    <t>Jordan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</si>
  <si>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</si>
  <si>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</si>
  <si>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</si>
  <si>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</si>
  <si>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</si>
  <si>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</si>
  <si>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</si>
  <si>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</si>
  <si>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</si>
  <si>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</si>
  <si>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</si>
  <si>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</si>
  <si>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</si>
  <si>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</si>
  <si>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</si>
  <si>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</si>
  <si>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</si>
  <si>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</si>
  <si>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</si>
  <si>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</si>
  <si>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</si>
  <si>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</si>
  <si>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</si>
  <si>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</si>
  <si>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</si>
  <si>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</si>
  <si>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</si>
  <si>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</si>
  <si>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</si>
  <si>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</si>
  <si>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</si>
  <si>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</si>
  <si>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</si>
  <si>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</si>
  <si>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</si>
  <si>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</si>
  <si>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</si>
  <si>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</si>
  <si>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</si>
  <si>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</si>
  <si>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</si>
  <si>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</si>
  <si>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</si>
  <si>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</si>
  <si>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</si>
  <si>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</si>
  <si>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</si>
  <si>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</si>
  <si>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</si>
  <si>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</si>
  <si>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</si>
  <si>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</si>
  <si>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</si>
  <si>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</si>
  <si>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</si>
  <si>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</si>
  <si>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</si>
  <si>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</si>
  <si>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</si>
  <si>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</si>
  <si>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</si>
  <si>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</si>
  <si>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</si>
  <si>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</si>
  <si>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</si>
  <si>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</si>
  <si>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</si>
  <si>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</si>
  <si>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</si>
  <si>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</si>
  <si>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</si>
  <si>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</si>
  <si>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</si>
  <si>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</si>
  <si>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</si>
  <si>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Somalia</t>
  </si>
  <si>
    <t>South Sudan</t>
  </si>
  <si>
    <t>Namibia</t>
  </si>
  <si>
    <t>Belize</t>
  </si>
  <si>
    <t>Puerto Rico</t>
  </si>
  <si>
    <t>Taiwan Province of China</t>
  </si>
  <si>
    <t>Hong Kong S.A.R. of China</t>
  </si>
  <si>
    <t/>
  </si>
  <si>
    <t>Argelia</t>
  </si>
  <si>
    <t>Trinidad &amp; Tobago</t>
  </si>
  <si>
    <t>Gambia</t>
  </si>
  <si>
    <t>Maldives</t>
  </si>
  <si>
    <t>North Macedonia</t>
  </si>
  <si>
    <t>Congo</t>
  </si>
  <si>
    <t>Czechia</t>
  </si>
  <si>
    <t>Eswatini</t>
  </si>
  <si>
    <t>State of Palestine</t>
  </si>
  <si>
    <t>Turkiye</t>
  </si>
  <si>
    <t>Row Labels</t>
  </si>
  <si>
    <t>Grand Total</t>
  </si>
  <si>
    <t>Average GDP</t>
  </si>
  <si>
    <t xml:space="preserve">Average </t>
  </si>
  <si>
    <t>Q1</t>
  </si>
  <si>
    <t>Q3</t>
  </si>
  <si>
    <t>IQR</t>
  </si>
  <si>
    <t>Upper Bound</t>
  </si>
  <si>
    <t xml:space="preserve">Avergage GDP </t>
  </si>
  <si>
    <t>Average Happiness</t>
  </si>
  <si>
    <t>Average perception of corruption</t>
  </si>
  <si>
    <t>Mean</t>
  </si>
  <si>
    <t>Happines Score</t>
  </si>
  <si>
    <t xml:space="preserve">Lower Bound </t>
  </si>
  <si>
    <t>AVG Corruption</t>
  </si>
  <si>
    <t>Below Average</t>
  </si>
  <si>
    <t>Highest GDP</t>
  </si>
  <si>
    <t>Rank</t>
  </si>
  <si>
    <t>Business Indicator</t>
  </si>
  <si>
    <t xml:space="preserve">Happiness Score </t>
  </si>
  <si>
    <t>Change in Happiness</t>
  </si>
  <si>
    <t>Top Country (Business Indicator)</t>
  </si>
  <si>
    <t>Average generosity</t>
  </si>
  <si>
    <t>Highest Happiness</t>
  </si>
  <si>
    <t>Lowest Happiness</t>
  </si>
  <si>
    <t>Variance</t>
  </si>
  <si>
    <t>Which country with a below average perception of corruption has the highest gdp per capita?</t>
  </si>
  <si>
    <t>What are the top ten countries with improved happinness scores from 2020 - 2024?</t>
  </si>
  <si>
    <t>Which region has the strongest business indicator from 2020-2024?</t>
  </si>
  <si>
    <t>Which Region had the largest variance in Happiness Scores between countries in 2024?</t>
  </si>
  <si>
    <t>Which region had the highest average generosity scores for 2020-2024?</t>
  </si>
  <si>
    <t>https://www.kaggle.com/datasets/yadiraespinoza/world-happiness-2015-2024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</si>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</sst>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5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NumberFormat="1"/>
    <xf numFmtId="0" fontId="0" fillId="0" borderId="0" xfId="2" applyNumberFormat="1" applyFont="1"/>
    <xf numFmtId="164" fontId="0" fillId="0" borderId="0" xfId="1" applyNumberFormat="1" applyFont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3" xfId="0" applyFont="1" applyBorder="1"/>
    <xf numFmtId="164" fontId="0" fillId="0" borderId="2" xfId="1" applyNumberFormat="1" applyFont="1" applyBorder="1"/>
    <xf numFmtId="164" fontId="2" fillId="2" borderId="2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2" fillId="0" borderId="0" xfId="0" applyFont="1" applyFill="1" applyBorder="1" applyAlignment="1"/>
    <xf numFmtId="0" fontId="2" fillId="2" borderId="2" xfId="0" applyFont="1" applyFill="1" applyBorder="1" applyAlignment="1">
      <alignment horizontal="right"/>
    </xf>
    <xf numFmtId="2" fontId="0" fillId="0" borderId="0" xfId="1" applyNumberFormat="1" applyFont="1"/>
    <xf numFmtId="1" fontId="0" fillId="0" borderId="2" xfId="0" applyNumberFormat="1" applyFont="1" applyBorder="1"/>
    <xf numFmtId="1" fontId="0" fillId="0" borderId="0" xfId="1" applyNumberFormat="1" applyFont="1"/>
    <xf numFmtId="164" fontId="2" fillId="2" borderId="0" xfId="1" applyNumberFormat="1" applyFont="1" applyFill="1" applyBorder="1" applyAlignment="1"/>
    <xf numFmtId="0" fontId="2" fillId="2" borderId="0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3" fillId="0" borderId="2" xfId="0" applyNumberFormat="1" applyFont="1" applyBorder="1"/>
    <xf numFmtId="0" fontId="0" fillId="0" borderId="0" xfId="0" applyAlignment="1">
      <alignment horizontal="right"/>
    </xf>
    <xf numFmtId="0" fontId="2" fillId="2" borderId="2" xfId="0" applyFont="1" applyFill="1" applyBorder="1" applyAlignment="1"/>
    <xf numFmtId="0" fontId="0" fillId="0" borderId="0" xfId="0" applyBorder="1"/>
    <xf numFmtId="1" fontId="3" fillId="0" borderId="0" xfId="0" applyNumberFormat="1" applyFont="1"/>
    <xf numFmtId="1" fontId="0" fillId="0" borderId="0" xfId="0" applyNumberFormat="1" applyBorder="1"/>
    <xf numFmtId="0" fontId="3" fillId="3" borderId="5" xfId="0" applyNumberFormat="1" applyFont="1" applyFill="1" applyBorder="1"/>
    <xf numFmtId="1" fontId="2" fillId="2" borderId="1" xfId="0" applyNumberFormat="1" applyFont="1" applyFill="1" applyBorder="1"/>
    <xf numFmtId="1" fontId="0" fillId="0" borderId="1" xfId="0" applyNumberFormat="1" applyFont="1" applyBorder="1"/>
    <xf numFmtId="49" fontId="2" fillId="2" borderId="2" xfId="0" applyNumberFormat="1" applyFont="1" applyFill="1" applyBorder="1"/>
    <xf numFmtId="49" fontId="0" fillId="0" borderId="2" xfId="0" applyNumberFormat="1" applyFont="1" applyBorder="1"/>
    <xf numFmtId="49" fontId="0" fillId="0" borderId="0" xfId="0" applyNumberFormat="1"/>
    <xf numFmtId="1" fontId="2" fillId="2" borderId="2" xfId="0" applyNumberFormat="1" applyFont="1" applyFill="1" applyBorder="1"/>
    <xf numFmtId="1" fontId="2" fillId="2" borderId="0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0" fontId="3" fillId="0" borderId="0" xfId="0" applyNumberFormat="1" applyFont="1" applyFill="1" applyBorder="1"/>
    <xf numFmtId="0" fontId="0" fillId="5" borderId="0" xfId="0" applyFill="1"/>
  </cellXfs>
  <cellStyles count="3">
    <cellStyle name="Currency" xfId="1" builtinId="4"/>
    <cellStyle name="Normal" xfId="0" builtinId="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Happiness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0347279469975"/>
          <c:y val="0.15727688087313757"/>
          <c:w val="0.7907358396207006"/>
          <c:h val="0.744352906451836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Calculations!$A$174</c:f>
              <c:strCache>
                <c:ptCount val="1"/>
                <c:pt idx="0">
                  <c:v>Finland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Calculations!$G$174</c:f>
            </c:numRef>
          </c:val>
          <c:extLst>
            <c:ext xmlns:c16="http://schemas.microsoft.com/office/drawing/2014/chart" uri="{C3380CC4-5D6E-409C-BE32-E72D297353CC}">
              <c16:uniqueId val="{00000000-3F46-4548-91B3-20CF254A537A}"/>
            </c:ext>
          </c:extLst>
        </c:ser>
        <c:ser>
          <c:idx val="1"/>
          <c:order val="1"/>
          <c:tx>
            <c:strRef>
              <c:f>Calculations!$A$175</c:f>
              <c:strCache>
                <c:ptCount val="1"/>
                <c:pt idx="0">
                  <c:v>Denmark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Calculations!$G$175</c:f>
            </c:numRef>
          </c:val>
          <c:extLst>
            <c:ext xmlns:c16="http://schemas.microsoft.com/office/drawing/2014/chart" uri="{C3380CC4-5D6E-409C-BE32-E72D297353CC}">
              <c16:uniqueId val="{00000001-3F46-4548-91B3-20CF254A537A}"/>
            </c:ext>
          </c:extLst>
        </c:ser>
        <c:ser>
          <c:idx val="2"/>
          <c:order val="2"/>
          <c:tx>
            <c:strRef>
              <c:f>Calculations!$A$176</c:f>
              <c:strCache>
                <c:ptCount val="1"/>
                <c:pt idx="0">
                  <c:v>Switzerland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Calculations!$G$176</c:f>
            </c:numRef>
          </c:val>
          <c:extLst>
            <c:ext xmlns:c16="http://schemas.microsoft.com/office/drawing/2014/chart" uri="{C3380CC4-5D6E-409C-BE32-E72D297353CC}">
              <c16:uniqueId val="{00000002-3F46-4548-91B3-20CF254A537A}"/>
            </c:ext>
          </c:extLst>
        </c:ser>
        <c:ser>
          <c:idx val="3"/>
          <c:order val="3"/>
          <c:tx>
            <c:strRef>
              <c:f>Calculations!$A$177</c:f>
              <c:strCache>
                <c:ptCount val="1"/>
                <c:pt idx="0">
                  <c:v>Iceland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Calculations!$G$177</c:f>
            </c:numRef>
          </c:val>
          <c:extLst>
            <c:ext xmlns:c16="http://schemas.microsoft.com/office/drawing/2014/chart" uri="{C3380CC4-5D6E-409C-BE32-E72D297353CC}">
              <c16:uniqueId val="{00000003-3F46-4548-91B3-20CF254A537A}"/>
            </c:ext>
          </c:extLst>
        </c:ser>
        <c:ser>
          <c:idx val="4"/>
          <c:order val="4"/>
          <c:tx>
            <c:strRef>
              <c:f>Calculations!$A$178</c:f>
              <c:strCache>
                <c:ptCount val="1"/>
                <c:pt idx="0">
                  <c:v>Norway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Calculations!$G$178</c:f>
            </c:numRef>
          </c:val>
          <c:extLst>
            <c:ext xmlns:c16="http://schemas.microsoft.com/office/drawing/2014/chart" uri="{C3380CC4-5D6E-409C-BE32-E72D297353CC}">
              <c16:uniqueId val="{00000004-3F46-4548-91B3-20CF254A537A}"/>
            </c:ext>
          </c:extLst>
        </c:ser>
        <c:ser>
          <c:idx val="5"/>
          <c:order val="5"/>
          <c:tx>
            <c:strRef>
              <c:f>Calculations!$A$179</c:f>
              <c:strCache>
                <c:ptCount val="1"/>
                <c:pt idx="0">
                  <c:v>Netherlands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Calculations!$G$179</c:f>
            </c:numRef>
          </c:val>
          <c:extLst>
            <c:ext xmlns:c16="http://schemas.microsoft.com/office/drawing/2014/chart" uri="{C3380CC4-5D6E-409C-BE32-E72D297353CC}">
              <c16:uniqueId val="{00000005-3F46-4548-91B3-20CF254A537A}"/>
            </c:ext>
          </c:extLst>
        </c:ser>
        <c:ser>
          <c:idx val="6"/>
          <c:order val="6"/>
          <c:tx>
            <c:strRef>
              <c:f>Calculations!$A$180</c:f>
              <c:strCache>
                <c:ptCount val="1"/>
                <c:pt idx="0">
                  <c:v>Sweden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Calculations!$G$180</c:f>
            </c:numRef>
          </c:val>
          <c:extLst>
            <c:ext xmlns:c16="http://schemas.microsoft.com/office/drawing/2014/chart" uri="{C3380CC4-5D6E-409C-BE32-E72D297353CC}">
              <c16:uniqueId val="{00000006-3F46-4548-91B3-20CF254A537A}"/>
            </c:ext>
          </c:extLst>
        </c:ser>
        <c:ser>
          <c:idx val="7"/>
          <c:order val="7"/>
          <c:tx>
            <c:strRef>
              <c:f>Calculations!$A$181</c:f>
              <c:strCache>
                <c:ptCount val="1"/>
                <c:pt idx="0">
                  <c:v>New Zealand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Calculations!$G$181</c:f>
            </c:numRef>
          </c:val>
          <c:extLst>
            <c:ext xmlns:c16="http://schemas.microsoft.com/office/drawing/2014/chart" uri="{C3380CC4-5D6E-409C-BE32-E72D297353CC}">
              <c16:uniqueId val="{00000007-3F46-4548-91B3-20CF254A537A}"/>
            </c:ext>
          </c:extLst>
        </c:ser>
        <c:ser>
          <c:idx val="8"/>
          <c:order val="8"/>
          <c:tx>
            <c:strRef>
              <c:f>Calculations!$A$182</c:f>
              <c:strCache>
                <c:ptCount val="1"/>
                <c:pt idx="0">
                  <c:v>Austria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Calculations!$G$182</c:f>
            </c:numRef>
          </c:val>
          <c:extLst>
            <c:ext xmlns:c16="http://schemas.microsoft.com/office/drawing/2014/chart" uri="{C3380CC4-5D6E-409C-BE32-E72D297353CC}">
              <c16:uniqueId val="{00000008-3F46-4548-91B3-20CF254A537A}"/>
            </c:ext>
          </c:extLst>
        </c:ser>
        <c:ser>
          <c:idx val="9"/>
          <c:order val="9"/>
          <c:tx>
            <c:strRef>
              <c:f>Calculations!$A$183</c:f>
              <c:strCache>
                <c:ptCount val="1"/>
                <c:pt idx="0">
                  <c:v>Luxembourg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Calculations!$G$183</c:f>
            </c:numRef>
          </c:val>
          <c:extLst>
            <c:ext xmlns:c16="http://schemas.microsoft.com/office/drawing/2014/chart" uri="{C3380CC4-5D6E-409C-BE32-E72D297353CC}">
              <c16:uniqueId val="{00000009-3F46-4548-91B3-20CF254A537A}"/>
            </c:ext>
          </c:extLst>
        </c:ser>
        <c:ser>
          <c:idx val="10"/>
          <c:order val="10"/>
          <c:tx>
            <c:strRef>
              <c:f>Calculations!$A$184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Calculations!$G$184</c:f>
            </c:numRef>
          </c:val>
          <c:extLst>
            <c:ext xmlns:c16="http://schemas.microsoft.com/office/drawing/2014/chart" uri="{C3380CC4-5D6E-409C-BE32-E72D297353CC}">
              <c16:uniqueId val="{0000000A-3F46-4548-91B3-20CF254A537A}"/>
            </c:ext>
          </c:extLst>
        </c:ser>
        <c:ser>
          <c:idx val="11"/>
          <c:order val="11"/>
          <c:tx>
            <c:strRef>
              <c:f>Calculations!$A$185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Calculations!$G$185</c:f>
            </c:numRef>
          </c:val>
          <c:extLst>
            <c:ext xmlns:c16="http://schemas.microsoft.com/office/drawing/2014/chart" uri="{C3380CC4-5D6E-409C-BE32-E72D297353CC}">
              <c16:uniqueId val="{0000000B-3F46-4548-91B3-20CF254A537A}"/>
            </c:ext>
          </c:extLst>
        </c:ser>
        <c:ser>
          <c:idx val="12"/>
          <c:order val="12"/>
          <c:tx>
            <c:strRef>
              <c:f>Calculations!$A$186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Calculations!$G$186</c:f>
            </c:numRef>
          </c:val>
          <c:extLst>
            <c:ext xmlns:c16="http://schemas.microsoft.com/office/drawing/2014/chart" uri="{C3380CC4-5D6E-409C-BE32-E72D297353CC}">
              <c16:uniqueId val="{0000000C-3F46-4548-91B3-20CF254A537A}"/>
            </c:ext>
          </c:extLst>
        </c:ser>
        <c:ser>
          <c:idx val="13"/>
          <c:order val="13"/>
          <c:tx>
            <c:strRef>
              <c:f>Calculations!$A$187</c:f>
              <c:strCache>
                <c:ptCount val="1"/>
                <c:pt idx="0">
                  <c:v>Israel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Calculations!$G$187</c:f>
            </c:numRef>
          </c:val>
          <c:extLst>
            <c:ext xmlns:c16="http://schemas.microsoft.com/office/drawing/2014/chart" uri="{C3380CC4-5D6E-409C-BE32-E72D297353CC}">
              <c16:uniqueId val="{0000000D-3F46-4548-91B3-20CF254A537A}"/>
            </c:ext>
          </c:extLst>
        </c:ser>
        <c:ser>
          <c:idx val="14"/>
          <c:order val="14"/>
          <c:tx>
            <c:strRef>
              <c:f>Calculations!$A$188</c:f>
              <c:strCache>
                <c:ptCount val="1"/>
                <c:pt idx="0">
                  <c:v>Costa Rica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Calculations!$G$188</c:f>
            </c:numRef>
          </c:val>
          <c:extLst>
            <c:ext xmlns:c16="http://schemas.microsoft.com/office/drawing/2014/chart" uri="{C3380CC4-5D6E-409C-BE32-E72D297353CC}">
              <c16:uniqueId val="{0000000E-3F46-4548-91B3-20CF254A537A}"/>
            </c:ext>
          </c:extLst>
        </c:ser>
        <c:ser>
          <c:idx val="15"/>
          <c:order val="15"/>
          <c:tx>
            <c:strRef>
              <c:f>Calculations!$A$189</c:f>
              <c:strCache>
                <c:ptCount val="1"/>
                <c:pt idx="0">
                  <c:v>Ireland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Calculations!$G$189</c:f>
            </c:numRef>
          </c:val>
          <c:extLst>
            <c:ext xmlns:c16="http://schemas.microsoft.com/office/drawing/2014/chart" uri="{C3380CC4-5D6E-409C-BE32-E72D297353CC}">
              <c16:uniqueId val="{0000000F-3F46-4548-91B3-20CF254A537A}"/>
            </c:ext>
          </c:extLst>
        </c:ser>
        <c:ser>
          <c:idx val="16"/>
          <c:order val="16"/>
          <c:tx>
            <c:strRef>
              <c:f>Calculations!$A$190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Calculations!$G$190</c:f>
            </c:numRef>
          </c:val>
          <c:extLst>
            <c:ext xmlns:c16="http://schemas.microsoft.com/office/drawing/2014/chart" uri="{C3380CC4-5D6E-409C-BE32-E72D297353CC}">
              <c16:uniqueId val="{00000010-3F46-4548-91B3-20CF254A537A}"/>
            </c:ext>
          </c:extLst>
        </c:ser>
        <c:ser>
          <c:idx val="17"/>
          <c:order val="17"/>
          <c:tx>
            <c:strRef>
              <c:f>Calculations!$A$191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Calculations!$G$191</c:f>
            </c:numRef>
          </c:val>
          <c:extLst>
            <c:ext xmlns:c16="http://schemas.microsoft.com/office/drawing/2014/chart" uri="{C3380CC4-5D6E-409C-BE32-E72D297353CC}">
              <c16:uniqueId val="{00000011-3F46-4548-91B3-20CF254A537A}"/>
            </c:ext>
          </c:extLst>
        </c:ser>
        <c:ser>
          <c:idx val="18"/>
          <c:order val="18"/>
          <c:tx>
            <c:strRef>
              <c:f>Calculations!$A$192</c:f>
              <c:strCache>
                <c:ptCount val="1"/>
                <c:pt idx="0">
                  <c:v>Belgium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Calculations!$G$192</c:f>
            </c:numRef>
          </c:val>
          <c:extLst>
            <c:ext xmlns:c16="http://schemas.microsoft.com/office/drawing/2014/chart" uri="{C3380CC4-5D6E-409C-BE32-E72D297353CC}">
              <c16:uniqueId val="{00000012-3F46-4548-91B3-20CF254A537A}"/>
            </c:ext>
          </c:extLst>
        </c:ser>
        <c:ser>
          <c:idx val="19"/>
          <c:order val="19"/>
          <c:tx>
            <c:strRef>
              <c:f>Calculations!$A$193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Calculations!$G$193</c:f>
            </c:numRef>
          </c:val>
          <c:extLst>
            <c:ext xmlns:c16="http://schemas.microsoft.com/office/drawing/2014/chart" uri="{C3380CC4-5D6E-409C-BE32-E72D297353CC}">
              <c16:uniqueId val="{00000013-3F46-4548-91B3-20CF254A537A}"/>
            </c:ext>
          </c:extLst>
        </c:ser>
        <c:ser>
          <c:idx val="20"/>
          <c:order val="20"/>
          <c:tx>
            <c:strRef>
              <c:f>Calculations!$A$194</c:f>
              <c:strCache>
                <c:ptCount val="1"/>
                <c:pt idx="0">
                  <c:v>Malta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Calculations!$G$194</c:f>
            </c:numRef>
          </c:val>
          <c:extLst>
            <c:ext xmlns:c16="http://schemas.microsoft.com/office/drawing/2014/chart" uri="{C3380CC4-5D6E-409C-BE32-E72D297353CC}">
              <c16:uniqueId val="{00000014-3F46-4548-91B3-20CF254A537A}"/>
            </c:ext>
          </c:extLst>
        </c:ser>
        <c:ser>
          <c:idx val="21"/>
          <c:order val="21"/>
          <c:tx>
            <c:strRef>
              <c:f>Calculations!$A$195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Calculations!$G$195</c:f>
            </c:numRef>
          </c:val>
          <c:extLst>
            <c:ext xmlns:c16="http://schemas.microsoft.com/office/drawing/2014/chart" uri="{C3380CC4-5D6E-409C-BE32-E72D297353CC}">
              <c16:uniqueId val="{00000015-3F46-4548-91B3-20CF254A537A}"/>
            </c:ext>
          </c:extLst>
        </c:ser>
        <c:ser>
          <c:idx val="22"/>
          <c:order val="22"/>
          <c:tx>
            <c:strRef>
              <c:f>Calculations!$A$196</c:f>
              <c:strCache>
                <c:ptCount val="1"/>
                <c:pt idx="0">
                  <c:v>Mexico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Calculations!$G$196</c:f>
            </c:numRef>
          </c:val>
          <c:extLst>
            <c:ext xmlns:c16="http://schemas.microsoft.com/office/drawing/2014/chart" uri="{C3380CC4-5D6E-409C-BE32-E72D297353CC}">
              <c16:uniqueId val="{00000016-3F46-4548-91B3-20CF254A537A}"/>
            </c:ext>
          </c:extLst>
        </c:ser>
        <c:ser>
          <c:idx val="23"/>
          <c:order val="23"/>
          <c:tx>
            <c:strRef>
              <c:f>Calculations!$A$197</c:f>
              <c:strCache>
                <c:ptCount val="1"/>
                <c:pt idx="0">
                  <c:v>Taiwan Province of China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Calculations!$G$197</c:f>
            </c:numRef>
          </c:val>
          <c:extLst>
            <c:ext xmlns:c16="http://schemas.microsoft.com/office/drawing/2014/chart" uri="{C3380CC4-5D6E-409C-BE32-E72D297353CC}">
              <c16:uniqueId val="{00000017-3F46-4548-91B3-20CF254A537A}"/>
            </c:ext>
          </c:extLst>
        </c:ser>
        <c:ser>
          <c:idx val="24"/>
          <c:order val="24"/>
          <c:tx>
            <c:strRef>
              <c:f>Calculations!$A$198</c:f>
              <c:strCache>
                <c:ptCount val="1"/>
                <c:pt idx="0">
                  <c:v>Uruguay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Calculations!$G$198</c:f>
            </c:numRef>
          </c:val>
          <c:extLst>
            <c:ext xmlns:c16="http://schemas.microsoft.com/office/drawing/2014/chart" uri="{C3380CC4-5D6E-409C-BE32-E72D297353CC}">
              <c16:uniqueId val="{00000018-3F46-4548-91B3-20CF254A537A}"/>
            </c:ext>
          </c:extLst>
        </c:ser>
        <c:ser>
          <c:idx val="25"/>
          <c:order val="25"/>
          <c:tx>
            <c:strRef>
              <c:f>Calculations!$A$199</c:f>
              <c:strCache>
                <c:ptCount val="1"/>
                <c:pt idx="0">
                  <c:v>Saudi Arabia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Calculations!$G$199</c:f>
            </c:numRef>
          </c:val>
          <c:extLst>
            <c:ext xmlns:c16="http://schemas.microsoft.com/office/drawing/2014/chart" uri="{C3380CC4-5D6E-409C-BE32-E72D297353CC}">
              <c16:uniqueId val="{00000019-3F46-4548-91B3-20CF254A537A}"/>
            </c:ext>
          </c:extLst>
        </c:ser>
        <c:ser>
          <c:idx val="26"/>
          <c:order val="26"/>
          <c:tx>
            <c:strRef>
              <c:f>Calculations!$A$200</c:f>
              <c:strCache>
                <c:ptCount val="1"/>
                <c:pt idx="0">
                  <c:v>Spain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Calculations!$G$200</c:f>
            </c:numRef>
          </c:val>
          <c:extLst>
            <c:ext xmlns:c16="http://schemas.microsoft.com/office/drawing/2014/chart" uri="{C3380CC4-5D6E-409C-BE32-E72D297353CC}">
              <c16:uniqueId val="{0000001A-3F46-4548-91B3-20CF254A537A}"/>
            </c:ext>
          </c:extLst>
        </c:ser>
        <c:ser>
          <c:idx val="27"/>
          <c:order val="27"/>
          <c:tx>
            <c:strRef>
              <c:f>Calculations!$A$201</c:f>
              <c:strCache>
                <c:ptCount val="1"/>
                <c:pt idx="0">
                  <c:v>Guatemala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Calculations!$G$201</c:f>
            </c:numRef>
          </c:val>
          <c:extLst>
            <c:ext xmlns:c16="http://schemas.microsoft.com/office/drawing/2014/chart" uri="{C3380CC4-5D6E-409C-BE32-E72D297353CC}">
              <c16:uniqueId val="{0000001B-3F46-4548-91B3-20CF254A537A}"/>
            </c:ext>
          </c:extLst>
        </c:ser>
        <c:ser>
          <c:idx val="28"/>
          <c:order val="28"/>
          <c:tx>
            <c:strRef>
              <c:f>Calculations!$A$202</c:f>
              <c:strCache>
                <c:ptCount val="1"/>
                <c:pt idx="0">
                  <c:v>Italy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Calculations!$G$202</c:f>
            </c:numRef>
          </c:val>
          <c:extLst>
            <c:ext xmlns:c16="http://schemas.microsoft.com/office/drawing/2014/chart" uri="{C3380CC4-5D6E-409C-BE32-E72D297353CC}">
              <c16:uniqueId val="{0000001C-3F46-4548-91B3-20CF254A537A}"/>
            </c:ext>
          </c:extLst>
        </c:ser>
        <c:ser>
          <c:idx val="29"/>
          <c:order val="29"/>
          <c:tx>
            <c:strRef>
              <c:f>Calculations!$A$203</c:f>
              <c:strCache>
                <c:ptCount val="1"/>
                <c:pt idx="0">
                  <c:v>Singapore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Calculations!$G$203</c:f>
            </c:numRef>
          </c:val>
          <c:extLst>
            <c:ext xmlns:c16="http://schemas.microsoft.com/office/drawing/2014/chart" uri="{C3380CC4-5D6E-409C-BE32-E72D297353CC}">
              <c16:uniqueId val="{0000001D-3F46-4548-91B3-20CF254A537A}"/>
            </c:ext>
          </c:extLst>
        </c:ser>
        <c:ser>
          <c:idx val="30"/>
          <c:order val="30"/>
          <c:tx>
            <c:strRef>
              <c:f>Calculations!$A$204</c:f>
              <c:strCache>
                <c:ptCount val="1"/>
                <c:pt idx="0">
                  <c:v>Brazil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Calculations!$G$204</c:f>
            </c:numRef>
          </c:val>
          <c:extLst>
            <c:ext xmlns:c16="http://schemas.microsoft.com/office/drawing/2014/chart" uri="{C3380CC4-5D6E-409C-BE32-E72D297353CC}">
              <c16:uniqueId val="{0000001E-3F46-4548-91B3-20CF254A537A}"/>
            </c:ext>
          </c:extLst>
        </c:ser>
        <c:ser>
          <c:idx val="31"/>
          <c:order val="31"/>
          <c:tx>
            <c:strRef>
              <c:f>Calculations!$A$205</c:f>
              <c:strCache>
                <c:ptCount val="1"/>
                <c:pt idx="0">
                  <c:v>Slovenia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Calculations!$G$205</c:f>
            </c:numRef>
          </c:val>
          <c:extLst>
            <c:ext xmlns:c16="http://schemas.microsoft.com/office/drawing/2014/chart" uri="{C3380CC4-5D6E-409C-BE32-E72D297353CC}">
              <c16:uniqueId val="{0000001F-3F46-4548-91B3-20CF254A537A}"/>
            </c:ext>
          </c:extLst>
        </c:ser>
        <c:ser>
          <c:idx val="32"/>
          <c:order val="32"/>
          <c:tx>
            <c:strRef>
              <c:f>Calculations!$A$206</c:f>
              <c:strCache>
                <c:ptCount val="1"/>
                <c:pt idx="0">
                  <c:v>El Salvador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Calculations!$G$206</c:f>
            </c:numRef>
          </c:val>
          <c:extLst>
            <c:ext xmlns:c16="http://schemas.microsoft.com/office/drawing/2014/chart" uri="{C3380CC4-5D6E-409C-BE32-E72D297353CC}">
              <c16:uniqueId val="{00000020-3F46-4548-91B3-20CF254A537A}"/>
            </c:ext>
          </c:extLst>
        </c:ser>
        <c:ser>
          <c:idx val="33"/>
          <c:order val="33"/>
          <c:tx>
            <c:strRef>
              <c:f>Calculations!$A$207</c:f>
              <c:strCache>
                <c:ptCount val="1"/>
                <c:pt idx="0">
                  <c:v>Kosovo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Calculations!$G$207</c:f>
            </c:numRef>
          </c:val>
          <c:extLst>
            <c:ext xmlns:c16="http://schemas.microsoft.com/office/drawing/2014/chart" uri="{C3380CC4-5D6E-409C-BE32-E72D297353CC}">
              <c16:uniqueId val="{00000021-3F46-4548-91B3-20CF254A537A}"/>
            </c:ext>
          </c:extLst>
        </c:ser>
        <c:ser>
          <c:idx val="34"/>
          <c:order val="34"/>
          <c:tx>
            <c:strRef>
              <c:f>Calculations!$A$208</c:f>
              <c:strCache>
                <c:ptCount val="1"/>
                <c:pt idx="0">
                  <c:v>Panama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Calculations!$G$208</c:f>
            </c:numRef>
          </c:val>
          <c:extLst>
            <c:ext xmlns:c16="http://schemas.microsoft.com/office/drawing/2014/chart" uri="{C3380CC4-5D6E-409C-BE32-E72D297353CC}">
              <c16:uniqueId val="{00000022-3F46-4548-91B3-20CF254A537A}"/>
            </c:ext>
          </c:extLst>
        </c:ser>
        <c:ser>
          <c:idx val="35"/>
          <c:order val="35"/>
          <c:tx>
            <c:strRef>
              <c:f>Calculations!$A$209</c:f>
              <c:strCache>
                <c:ptCount val="1"/>
                <c:pt idx="0">
                  <c:v>Slovakia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Calculations!$G$209</c:f>
            </c:numRef>
          </c:val>
          <c:extLst>
            <c:ext xmlns:c16="http://schemas.microsoft.com/office/drawing/2014/chart" uri="{C3380CC4-5D6E-409C-BE32-E72D297353CC}">
              <c16:uniqueId val="{00000023-3F46-4548-91B3-20CF254A537A}"/>
            </c:ext>
          </c:extLst>
        </c:ser>
        <c:ser>
          <c:idx val="36"/>
          <c:order val="36"/>
          <c:tx>
            <c:strRef>
              <c:f>Calculations!$A$210</c:f>
              <c:strCache>
                <c:ptCount val="1"/>
                <c:pt idx="0">
                  <c:v>Uzbekistan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Calculations!$G$210</c:f>
            </c:numRef>
          </c:val>
          <c:extLst>
            <c:ext xmlns:c16="http://schemas.microsoft.com/office/drawing/2014/chart" uri="{C3380CC4-5D6E-409C-BE32-E72D297353CC}">
              <c16:uniqueId val="{00000024-3F46-4548-91B3-20CF254A537A}"/>
            </c:ext>
          </c:extLst>
        </c:ser>
        <c:ser>
          <c:idx val="37"/>
          <c:order val="37"/>
          <c:tx>
            <c:strRef>
              <c:f>Calculations!$A$211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Calculations!$G$211</c:f>
            </c:numRef>
          </c:val>
          <c:extLst>
            <c:ext xmlns:c16="http://schemas.microsoft.com/office/drawing/2014/chart" uri="{C3380CC4-5D6E-409C-BE32-E72D297353CC}">
              <c16:uniqueId val="{00000025-3F46-4548-91B3-20CF254A537A}"/>
            </c:ext>
          </c:extLst>
        </c:ser>
        <c:ser>
          <c:idx val="38"/>
          <c:order val="38"/>
          <c:tx>
            <c:strRef>
              <c:f>Calculations!$A$212</c:f>
              <c:strCache>
                <c:ptCount val="1"/>
                <c:pt idx="0">
                  <c:v>Bahrain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Calculations!$G$212</c:f>
            </c:numRef>
          </c:val>
          <c:extLst>
            <c:ext xmlns:c16="http://schemas.microsoft.com/office/drawing/2014/chart" uri="{C3380CC4-5D6E-409C-BE32-E72D297353CC}">
              <c16:uniqueId val="{00000026-3F46-4548-91B3-20CF254A537A}"/>
            </c:ext>
          </c:extLst>
        </c:ser>
        <c:ser>
          <c:idx val="39"/>
          <c:order val="39"/>
          <c:tx>
            <c:strRef>
              <c:f>Calculations!$A$213</c:f>
              <c:strCache>
                <c:ptCount val="1"/>
                <c:pt idx="0">
                  <c:v>Lithuania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Calculations!$G$213</c:f>
              <c:numCache>
                <c:formatCode>0</c:formatCode>
                <c:ptCount val="1"/>
                <c:pt idx="0">
                  <c:v>60200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F46-4548-91B3-20CF254A537A}"/>
            </c:ext>
          </c:extLst>
        </c:ser>
        <c:ser>
          <c:idx val="40"/>
          <c:order val="40"/>
          <c:tx>
            <c:strRef>
              <c:f>Calculations!$A$214</c:f>
              <c:strCache>
                <c:ptCount val="1"/>
                <c:pt idx="0">
                  <c:v>Trinidad and Tobago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Calculations!$G$214</c:f>
            </c:numRef>
          </c:val>
          <c:extLst>
            <c:ext xmlns:c16="http://schemas.microsoft.com/office/drawing/2014/chart" uri="{C3380CC4-5D6E-409C-BE32-E72D297353CC}">
              <c16:uniqueId val="{00000028-3F46-4548-91B3-20CF254A537A}"/>
            </c:ext>
          </c:extLst>
        </c:ser>
        <c:ser>
          <c:idx val="41"/>
          <c:order val="41"/>
          <c:tx>
            <c:strRef>
              <c:f>Calculations!$A$215</c:f>
              <c:strCache>
                <c:ptCount val="1"/>
                <c:pt idx="0">
                  <c:v>Poland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Calculations!$G$215</c:f>
            </c:numRef>
          </c:val>
          <c:extLst>
            <c:ext xmlns:c16="http://schemas.microsoft.com/office/drawing/2014/chart" uri="{C3380CC4-5D6E-409C-BE32-E72D297353CC}">
              <c16:uniqueId val="{00000029-3F46-4548-91B3-20CF254A537A}"/>
            </c:ext>
          </c:extLst>
        </c:ser>
        <c:ser>
          <c:idx val="42"/>
          <c:order val="42"/>
          <c:tx>
            <c:strRef>
              <c:f>Calculations!$A$216</c:f>
              <c:strCache>
                <c:ptCount val="1"/>
                <c:pt idx="0">
                  <c:v>Colombia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Calculations!$G$216</c:f>
            </c:numRef>
          </c:val>
          <c:extLst>
            <c:ext xmlns:c16="http://schemas.microsoft.com/office/drawing/2014/chart" uri="{C3380CC4-5D6E-409C-BE32-E72D297353CC}">
              <c16:uniqueId val="{0000002A-3F46-4548-91B3-20CF254A537A}"/>
            </c:ext>
          </c:extLst>
        </c:ser>
        <c:ser>
          <c:idx val="43"/>
          <c:order val="43"/>
          <c:tx>
            <c:strRef>
              <c:f>Calculations!$A$217</c:f>
              <c:strCache>
                <c:ptCount val="1"/>
                <c:pt idx="0">
                  <c:v>Cyprus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Calculations!$G$217</c:f>
            </c:numRef>
          </c:val>
          <c:extLst>
            <c:ext xmlns:c16="http://schemas.microsoft.com/office/drawing/2014/chart" uri="{C3380CC4-5D6E-409C-BE32-E72D297353CC}">
              <c16:uniqueId val="{0000002B-3F46-4548-91B3-20CF254A537A}"/>
            </c:ext>
          </c:extLst>
        </c:ser>
        <c:ser>
          <c:idx val="44"/>
          <c:order val="44"/>
          <c:tx>
            <c:strRef>
              <c:f>Calculations!$A$218</c:f>
              <c:strCache>
                <c:ptCount val="1"/>
                <c:pt idx="0">
                  <c:v>Nicaragua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Calculations!$G$218</c:f>
            </c:numRef>
          </c:val>
          <c:extLst>
            <c:ext xmlns:c16="http://schemas.microsoft.com/office/drawing/2014/chart" uri="{C3380CC4-5D6E-409C-BE32-E72D297353CC}">
              <c16:uniqueId val="{0000002C-3F46-4548-91B3-20CF254A537A}"/>
            </c:ext>
          </c:extLst>
        </c:ser>
        <c:ser>
          <c:idx val="45"/>
          <c:order val="45"/>
          <c:tx>
            <c:strRef>
              <c:f>Calculations!$A$219</c:f>
              <c:strCache>
                <c:ptCount val="1"/>
                <c:pt idx="0">
                  <c:v>Romania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Calculations!$G$219</c:f>
            </c:numRef>
          </c:val>
          <c:extLst>
            <c:ext xmlns:c16="http://schemas.microsoft.com/office/drawing/2014/chart" uri="{C3380CC4-5D6E-409C-BE32-E72D297353CC}">
              <c16:uniqueId val="{0000002D-3F46-4548-91B3-20CF254A537A}"/>
            </c:ext>
          </c:extLst>
        </c:ser>
        <c:ser>
          <c:idx val="46"/>
          <c:order val="46"/>
          <c:tx>
            <c:strRef>
              <c:f>Calculations!$A$220</c:f>
              <c:strCache>
                <c:ptCount val="1"/>
                <c:pt idx="0">
                  <c:v>Kuwait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Calculations!$G$220</c:f>
              <c:numCache>
                <c:formatCode>0</c:formatCode>
                <c:ptCount val="1"/>
                <c:pt idx="0">
                  <c:v>84930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F46-4548-91B3-20CF254A537A}"/>
            </c:ext>
          </c:extLst>
        </c:ser>
        <c:ser>
          <c:idx val="47"/>
          <c:order val="47"/>
          <c:tx>
            <c:strRef>
              <c:f>Calculations!$A$221</c:f>
              <c:strCache>
                <c:ptCount val="1"/>
                <c:pt idx="0">
                  <c:v>Mauritius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Calculations!$G$221</c:f>
            </c:numRef>
          </c:val>
          <c:extLst>
            <c:ext xmlns:c16="http://schemas.microsoft.com/office/drawing/2014/chart" uri="{C3380CC4-5D6E-409C-BE32-E72D297353CC}">
              <c16:uniqueId val="{0000002F-3F46-4548-91B3-20CF254A537A}"/>
            </c:ext>
          </c:extLst>
        </c:ser>
        <c:ser>
          <c:idx val="48"/>
          <c:order val="48"/>
          <c:tx>
            <c:strRef>
              <c:f>Calculations!$A$222</c:f>
              <c:strCache>
                <c:ptCount val="1"/>
                <c:pt idx="0">
                  <c:v>Kazakhstan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Calculations!$G$222</c:f>
            </c:numRef>
          </c:val>
          <c:extLst>
            <c:ext xmlns:c16="http://schemas.microsoft.com/office/drawing/2014/chart" uri="{C3380CC4-5D6E-409C-BE32-E72D297353CC}">
              <c16:uniqueId val="{00000030-3F46-4548-91B3-20CF254A537A}"/>
            </c:ext>
          </c:extLst>
        </c:ser>
        <c:ser>
          <c:idx val="49"/>
          <c:order val="49"/>
          <c:tx>
            <c:strRef>
              <c:f>Calculations!$A$223</c:f>
              <c:strCache>
                <c:ptCount val="1"/>
                <c:pt idx="0">
                  <c:v>Estonia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Calculations!$G$223</c:f>
            </c:numRef>
          </c:val>
          <c:extLst>
            <c:ext xmlns:c16="http://schemas.microsoft.com/office/drawing/2014/chart" uri="{C3380CC4-5D6E-409C-BE32-E72D297353CC}">
              <c16:uniqueId val="{00000031-3F46-4548-91B3-20CF254A537A}"/>
            </c:ext>
          </c:extLst>
        </c:ser>
        <c:ser>
          <c:idx val="50"/>
          <c:order val="50"/>
          <c:tx>
            <c:strRef>
              <c:f>Calculations!$A$224</c:f>
              <c:strCache>
                <c:ptCount val="1"/>
                <c:pt idx="0">
                  <c:v>Philippines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Calculations!$G$224</c:f>
            </c:numRef>
          </c:val>
          <c:extLst>
            <c:ext xmlns:c16="http://schemas.microsoft.com/office/drawing/2014/chart" uri="{C3380CC4-5D6E-409C-BE32-E72D297353CC}">
              <c16:uniqueId val="{00000032-3F46-4548-91B3-20CF254A537A}"/>
            </c:ext>
          </c:extLst>
        </c:ser>
        <c:ser>
          <c:idx val="51"/>
          <c:order val="51"/>
          <c:tx>
            <c:strRef>
              <c:f>Calculations!$A$225</c:f>
              <c:strCache>
                <c:ptCount val="1"/>
                <c:pt idx="0">
                  <c:v>Hungary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Calculations!$G$225</c:f>
            </c:numRef>
          </c:val>
          <c:extLst>
            <c:ext xmlns:c16="http://schemas.microsoft.com/office/drawing/2014/chart" uri="{C3380CC4-5D6E-409C-BE32-E72D297353CC}">
              <c16:uniqueId val="{00000033-3F46-4548-91B3-20CF254A537A}"/>
            </c:ext>
          </c:extLst>
        </c:ser>
        <c:ser>
          <c:idx val="52"/>
          <c:order val="52"/>
          <c:tx>
            <c:strRef>
              <c:f>Calculations!$A$226</c:f>
              <c:strCache>
                <c:ptCount val="1"/>
                <c:pt idx="0">
                  <c:v>Thailand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Calculations!$G$226</c:f>
            </c:numRef>
          </c:val>
          <c:extLst>
            <c:ext xmlns:c16="http://schemas.microsoft.com/office/drawing/2014/chart" uri="{C3380CC4-5D6E-409C-BE32-E72D297353CC}">
              <c16:uniqueId val="{00000034-3F46-4548-91B3-20CF254A537A}"/>
            </c:ext>
          </c:extLst>
        </c:ser>
        <c:ser>
          <c:idx val="53"/>
          <c:order val="53"/>
          <c:tx>
            <c:strRef>
              <c:f>Calculations!$A$227</c:f>
              <c:strCache>
                <c:ptCount val="1"/>
                <c:pt idx="0">
                  <c:v>Argentina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Calculations!$G$227</c:f>
            </c:numRef>
          </c:val>
          <c:extLst>
            <c:ext xmlns:c16="http://schemas.microsoft.com/office/drawing/2014/chart" uri="{C3380CC4-5D6E-409C-BE32-E72D297353CC}">
              <c16:uniqueId val="{00000035-3F46-4548-91B3-20CF254A537A}"/>
            </c:ext>
          </c:extLst>
        </c:ser>
        <c:ser>
          <c:idx val="54"/>
          <c:order val="54"/>
          <c:tx>
            <c:strRef>
              <c:f>Calculations!$A$228</c:f>
              <c:strCache>
                <c:ptCount val="1"/>
                <c:pt idx="0">
                  <c:v>Honduras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Calculations!$G$228</c:f>
            </c:numRef>
          </c:val>
          <c:extLst>
            <c:ext xmlns:c16="http://schemas.microsoft.com/office/drawing/2014/chart" uri="{C3380CC4-5D6E-409C-BE32-E72D297353CC}">
              <c16:uniqueId val="{00000036-3F46-4548-91B3-20CF254A537A}"/>
            </c:ext>
          </c:extLst>
        </c:ser>
        <c:ser>
          <c:idx val="55"/>
          <c:order val="55"/>
          <c:tx>
            <c:strRef>
              <c:f>Calculations!$A$229</c:f>
              <c:strCache>
                <c:ptCount val="1"/>
                <c:pt idx="0">
                  <c:v>Latvia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Calculations!$G$229</c:f>
            </c:numRef>
          </c:val>
          <c:extLst>
            <c:ext xmlns:c16="http://schemas.microsoft.com/office/drawing/2014/chart" uri="{C3380CC4-5D6E-409C-BE32-E72D297353CC}">
              <c16:uniqueId val="{00000037-3F46-4548-91B3-20CF254A537A}"/>
            </c:ext>
          </c:extLst>
        </c:ser>
        <c:ser>
          <c:idx val="56"/>
          <c:order val="56"/>
          <c:tx>
            <c:strRef>
              <c:f>Calculations!$A$230</c:f>
              <c:strCache>
                <c:ptCount val="1"/>
                <c:pt idx="0">
                  <c:v>Ecuador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Calculations!$G$230</c:f>
            </c:numRef>
          </c:val>
          <c:extLst>
            <c:ext xmlns:c16="http://schemas.microsoft.com/office/drawing/2014/chart" uri="{C3380CC4-5D6E-409C-BE32-E72D297353CC}">
              <c16:uniqueId val="{00000038-3F46-4548-91B3-20CF254A537A}"/>
            </c:ext>
          </c:extLst>
        </c:ser>
        <c:ser>
          <c:idx val="57"/>
          <c:order val="57"/>
          <c:tx>
            <c:strRef>
              <c:f>Calculations!$A$231</c:f>
              <c:strCache>
                <c:ptCount val="1"/>
                <c:pt idx="0">
                  <c:v>Portugal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Calculations!$G$231</c:f>
            </c:numRef>
          </c:val>
          <c:extLst>
            <c:ext xmlns:c16="http://schemas.microsoft.com/office/drawing/2014/chart" uri="{C3380CC4-5D6E-409C-BE32-E72D297353CC}">
              <c16:uniqueId val="{00000039-3F46-4548-91B3-20CF254A537A}"/>
            </c:ext>
          </c:extLst>
        </c:ser>
        <c:ser>
          <c:idx val="58"/>
          <c:order val="58"/>
          <c:tx>
            <c:strRef>
              <c:f>Calculations!$A$232</c:f>
              <c:strCache>
                <c:ptCount val="1"/>
                <c:pt idx="0">
                  <c:v>Jamaica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Calculations!$G$232</c:f>
            </c:numRef>
          </c:val>
          <c:extLst>
            <c:ext xmlns:c16="http://schemas.microsoft.com/office/drawing/2014/chart" uri="{C3380CC4-5D6E-409C-BE32-E72D297353CC}">
              <c16:uniqueId val="{0000003A-3F46-4548-91B3-20CF254A537A}"/>
            </c:ext>
          </c:extLst>
        </c:ser>
        <c:ser>
          <c:idx val="59"/>
          <c:order val="59"/>
          <c:tx>
            <c:strRef>
              <c:f>Calculations!$A$233</c:f>
              <c:strCache>
                <c:ptCount val="1"/>
                <c:pt idx="0">
                  <c:v>South Korea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Calculations!$G$233</c:f>
            </c:numRef>
          </c:val>
          <c:extLst>
            <c:ext xmlns:c16="http://schemas.microsoft.com/office/drawing/2014/chart" uri="{C3380CC4-5D6E-409C-BE32-E72D297353CC}">
              <c16:uniqueId val="{0000003B-3F46-4548-91B3-20CF254A537A}"/>
            </c:ext>
          </c:extLst>
        </c:ser>
        <c:ser>
          <c:idx val="60"/>
          <c:order val="60"/>
          <c:tx>
            <c:strRef>
              <c:f>Calculations!$A$234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Calculations!$G$234</c:f>
            </c:numRef>
          </c:val>
          <c:extLst>
            <c:ext xmlns:c16="http://schemas.microsoft.com/office/drawing/2014/chart" uri="{C3380CC4-5D6E-409C-BE32-E72D297353CC}">
              <c16:uniqueId val="{0000003C-3F46-4548-91B3-20CF254A537A}"/>
            </c:ext>
          </c:extLst>
        </c:ser>
        <c:ser>
          <c:idx val="61"/>
          <c:order val="61"/>
          <c:tx>
            <c:strRef>
              <c:f>Calculations!$A$235</c:f>
              <c:strCache>
                <c:ptCount val="1"/>
                <c:pt idx="0">
                  <c:v>Peru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Calculations!$G$235</c:f>
            </c:numRef>
          </c:val>
          <c:extLst>
            <c:ext xmlns:c16="http://schemas.microsoft.com/office/drawing/2014/chart" uri="{C3380CC4-5D6E-409C-BE32-E72D297353CC}">
              <c16:uniqueId val="{0000003D-3F46-4548-91B3-20CF254A537A}"/>
            </c:ext>
          </c:extLst>
        </c:ser>
        <c:ser>
          <c:idx val="62"/>
          <c:order val="62"/>
          <c:tx>
            <c:strRef>
              <c:f>Calculations!$A$236</c:f>
              <c:strCache>
                <c:ptCount val="1"/>
                <c:pt idx="0">
                  <c:v>Serbia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Calculations!$G$236</c:f>
              <c:numCache>
                <c:formatCode>0</c:formatCode>
                <c:ptCount val="1"/>
                <c:pt idx="0">
                  <c:v>63260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F46-4548-91B3-20CF254A537A}"/>
            </c:ext>
          </c:extLst>
        </c:ser>
        <c:ser>
          <c:idx val="63"/>
          <c:order val="63"/>
          <c:tx>
            <c:strRef>
              <c:f>Calculations!$A$237</c:f>
              <c:strCache>
                <c:ptCount val="1"/>
                <c:pt idx="0">
                  <c:v>Bolivia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Calculations!$G$237</c:f>
            </c:numRef>
          </c:val>
          <c:extLst>
            <c:ext xmlns:c16="http://schemas.microsoft.com/office/drawing/2014/chart" uri="{C3380CC4-5D6E-409C-BE32-E72D297353CC}">
              <c16:uniqueId val="{0000003F-3F46-4548-91B3-20CF254A537A}"/>
            </c:ext>
          </c:extLst>
        </c:ser>
        <c:ser>
          <c:idx val="64"/>
          <c:order val="64"/>
          <c:tx>
            <c:strRef>
              <c:f>Calculations!$A$238</c:f>
              <c:strCache>
                <c:ptCount val="1"/>
                <c:pt idx="0">
                  <c:v>Pakistan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Calculations!$G$238</c:f>
            </c:numRef>
          </c:val>
          <c:extLst>
            <c:ext xmlns:c16="http://schemas.microsoft.com/office/drawing/2014/chart" uri="{C3380CC4-5D6E-409C-BE32-E72D297353CC}">
              <c16:uniqueId val="{00000040-3F46-4548-91B3-20CF254A537A}"/>
            </c:ext>
          </c:extLst>
        </c:ser>
        <c:ser>
          <c:idx val="65"/>
          <c:order val="65"/>
          <c:tx>
            <c:strRef>
              <c:f>Calculations!$A$239</c:f>
              <c:strCache>
                <c:ptCount val="1"/>
                <c:pt idx="0">
                  <c:v>Paraguay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Calculations!$G$239</c:f>
            </c:numRef>
          </c:val>
          <c:extLst>
            <c:ext xmlns:c16="http://schemas.microsoft.com/office/drawing/2014/chart" uri="{C3380CC4-5D6E-409C-BE32-E72D297353CC}">
              <c16:uniqueId val="{00000041-3F46-4548-91B3-20CF254A537A}"/>
            </c:ext>
          </c:extLst>
        </c:ser>
        <c:ser>
          <c:idx val="66"/>
          <c:order val="66"/>
          <c:tx>
            <c:strRef>
              <c:f>Calculations!$A$240</c:f>
              <c:strCache>
                <c:ptCount val="1"/>
                <c:pt idx="0">
                  <c:v>Dominican Republic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Calculations!$G$240</c:f>
            </c:numRef>
          </c:val>
          <c:extLst>
            <c:ext xmlns:c16="http://schemas.microsoft.com/office/drawing/2014/chart" uri="{C3380CC4-5D6E-409C-BE32-E72D297353CC}">
              <c16:uniqueId val="{00000042-3F46-4548-91B3-20CF254A537A}"/>
            </c:ext>
          </c:extLst>
        </c:ser>
        <c:ser>
          <c:idx val="67"/>
          <c:order val="67"/>
          <c:tx>
            <c:strRef>
              <c:f>Calculations!$A$241</c:f>
              <c:strCache>
                <c:ptCount val="1"/>
                <c:pt idx="0">
                  <c:v>Bosnia and Herzegovina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Calculations!$G$241</c:f>
            </c:numRef>
          </c:val>
          <c:extLst>
            <c:ext xmlns:c16="http://schemas.microsoft.com/office/drawing/2014/chart" uri="{C3380CC4-5D6E-409C-BE32-E72D297353CC}">
              <c16:uniqueId val="{00000043-3F46-4548-91B3-20CF254A537A}"/>
            </c:ext>
          </c:extLst>
        </c:ser>
        <c:ser>
          <c:idx val="68"/>
          <c:order val="68"/>
          <c:tx>
            <c:strRef>
              <c:f>Calculations!$A$242</c:f>
              <c:strCache>
                <c:ptCount val="1"/>
                <c:pt idx="0">
                  <c:v>Moldova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Calculations!$G$242</c:f>
            </c:numRef>
          </c:val>
          <c:extLst>
            <c:ext xmlns:c16="http://schemas.microsoft.com/office/drawing/2014/chart" uri="{C3380CC4-5D6E-409C-BE32-E72D297353CC}">
              <c16:uniqueId val="{00000044-3F46-4548-91B3-20CF254A537A}"/>
            </c:ext>
          </c:extLst>
        </c:ser>
        <c:ser>
          <c:idx val="69"/>
          <c:order val="69"/>
          <c:tx>
            <c:strRef>
              <c:f>Calculations!$A$243</c:f>
              <c:strCache>
                <c:ptCount val="1"/>
                <c:pt idx="0">
                  <c:v>Tajikistan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Calculations!$G$243</c:f>
            </c:numRef>
          </c:val>
          <c:extLst>
            <c:ext xmlns:c16="http://schemas.microsoft.com/office/drawing/2014/chart" uri="{C3380CC4-5D6E-409C-BE32-E72D297353CC}">
              <c16:uniqueId val="{00000045-3F46-4548-91B3-20CF254A537A}"/>
            </c:ext>
          </c:extLst>
        </c:ser>
        <c:ser>
          <c:idx val="70"/>
          <c:order val="70"/>
          <c:tx>
            <c:strRef>
              <c:f>Calculations!$A$244</c:f>
              <c:strCache>
                <c:ptCount val="1"/>
                <c:pt idx="0">
                  <c:v>Montenegro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Calculations!$G$244</c:f>
            </c:numRef>
          </c:val>
          <c:extLst>
            <c:ext xmlns:c16="http://schemas.microsoft.com/office/drawing/2014/chart" uri="{C3380CC4-5D6E-409C-BE32-E72D297353CC}">
              <c16:uniqueId val="{00000046-3F46-4548-91B3-20CF254A537A}"/>
            </c:ext>
          </c:extLst>
        </c:ser>
        <c:ser>
          <c:idx val="71"/>
          <c:order val="71"/>
          <c:tx>
            <c:strRef>
              <c:f>Calculations!$A$245</c:f>
              <c:strCache>
                <c:ptCount val="1"/>
                <c:pt idx="0">
                  <c:v>Russia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Calculations!$G$245</c:f>
            </c:numRef>
          </c:val>
          <c:extLst>
            <c:ext xmlns:c16="http://schemas.microsoft.com/office/drawing/2014/chart" uri="{C3380CC4-5D6E-409C-BE32-E72D297353CC}">
              <c16:uniqueId val="{00000047-3F46-4548-91B3-20CF254A537A}"/>
            </c:ext>
          </c:extLst>
        </c:ser>
        <c:ser>
          <c:idx val="72"/>
          <c:order val="72"/>
          <c:tx>
            <c:strRef>
              <c:f>Calculations!$A$246</c:f>
              <c:strCache>
                <c:ptCount val="1"/>
                <c:pt idx="0">
                  <c:v>Kyrgyzstan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Calculations!$G$246</c:f>
            </c:numRef>
          </c:val>
          <c:extLst>
            <c:ext xmlns:c16="http://schemas.microsoft.com/office/drawing/2014/chart" uri="{C3380CC4-5D6E-409C-BE32-E72D297353CC}">
              <c16:uniqueId val="{00000048-3F46-4548-91B3-20CF254A537A}"/>
            </c:ext>
          </c:extLst>
        </c:ser>
        <c:ser>
          <c:idx val="73"/>
          <c:order val="73"/>
          <c:tx>
            <c:strRef>
              <c:f>Calculations!$A$247</c:f>
              <c:strCache>
                <c:ptCount val="1"/>
                <c:pt idx="0">
                  <c:v>Belarus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Calculations!$G$247</c:f>
            </c:numRef>
          </c:val>
          <c:extLst>
            <c:ext xmlns:c16="http://schemas.microsoft.com/office/drawing/2014/chart" uri="{C3380CC4-5D6E-409C-BE32-E72D297353CC}">
              <c16:uniqueId val="{00000049-3F46-4548-91B3-20CF254A537A}"/>
            </c:ext>
          </c:extLst>
        </c:ser>
        <c:ser>
          <c:idx val="74"/>
          <c:order val="74"/>
          <c:tx>
            <c:strRef>
              <c:f>Calculations!$A$248</c:f>
              <c:strCache>
                <c:ptCount val="1"/>
                <c:pt idx="0">
                  <c:v>Greece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Calculations!$G$248</c:f>
            </c:numRef>
          </c:val>
          <c:extLst>
            <c:ext xmlns:c16="http://schemas.microsoft.com/office/drawing/2014/chart" uri="{C3380CC4-5D6E-409C-BE32-E72D297353CC}">
              <c16:uniqueId val="{0000004A-3F46-4548-91B3-20CF254A537A}"/>
            </c:ext>
          </c:extLst>
        </c:ser>
        <c:ser>
          <c:idx val="75"/>
          <c:order val="75"/>
          <c:tx>
            <c:strRef>
              <c:f>Calculations!$A$249</c:f>
              <c:strCache>
                <c:ptCount val="1"/>
                <c:pt idx="0">
                  <c:v>Hong Kong S.A.R. of China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Calculations!$G$249</c:f>
            </c:numRef>
          </c:val>
          <c:extLst>
            <c:ext xmlns:c16="http://schemas.microsoft.com/office/drawing/2014/chart" uri="{C3380CC4-5D6E-409C-BE32-E72D297353CC}">
              <c16:uniqueId val="{0000004B-3F46-4548-91B3-20CF254A537A}"/>
            </c:ext>
          </c:extLst>
        </c:ser>
        <c:ser>
          <c:idx val="76"/>
          <c:order val="76"/>
          <c:tx>
            <c:strRef>
              <c:f>Calculations!$A$250</c:f>
              <c:strCache>
                <c:ptCount val="1"/>
                <c:pt idx="0">
                  <c:v>Croatia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Calculations!$G$250</c:f>
            </c:numRef>
          </c:val>
          <c:extLst>
            <c:ext xmlns:c16="http://schemas.microsoft.com/office/drawing/2014/chart" uri="{C3380CC4-5D6E-409C-BE32-E72D297353CC}">
              <c16:uniqueId val="{0000004C-3F46-4548-91B3-20CF254A537A}"/>
            </c:ext>
          </c:extLst>
        </c:ser>
        <c:ser>
          <c:idx val="77"/>
          <c:order val="77"/>
          <c:tx>
            <c:strRef>
              <c:f>Calculations!$A$251</c:f>
              <c:strCache>
                <c:ptCount val="1"/>
                <c:pt idx="0">
                  <c:v>Libya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Calculations!$G$251</c:f>
            </c:numRef>
          </c:val>
          <c:extLst>
            <c:ext xmlns:c16="http://schemas.microsoft.com/office/drawing/2014/chart" uri="{C3380CC4-5D6E-409C-BE32-E72D297353CC}">
              <c16:uniqueId val="{0000004D-3F46-4548-91B3-20CF254A537A}"/>
            </c:ext>
          </c:extLst>
        </c:ser>
        <c:ser>
          <c:idx val="78"/>
          <c:order val="78"/>
          <c:tx>
            <c:strRef>
              <c:f>Calculations!$A$252</c:f>
              <c:strCache>
                <c:ptCount val="1"/>
                <c:pt idx="0">
                  <c:v>Mongolia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Calculations!$G$252</c:f>
            </c:numRef>
          </c:val>
          <c:extLst>
            <c:ext xmlns:c16="http://schemas.microsoft.com/office/drawing/2014/chart" uri="{C3380CC4-5D6E-409C-BE32-E72D297353CC}">
              <c16:uniqueId val="{0000004E-3F46-4548-91B3-20CF254A537A}"/>
            </c:ext>
          </c:extLst>
        </c:ser>
        <c:ser>
          <c:idx val="79"/>
          <c:order val="79"/>
          <c:tx>
            <c:strRef>
              <c:f>Calculations!$A$253</c:f>
              <c:strCache>
                <c:ptCount val="1"/>
                <c:pt idx="0">
                  <c:v>Malaysia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Calculations!$G$253</c:f>
              <c:numCache>
                <c:formatCode>0</c:formatCode>
                <c:ptCount val="1"/>
                <c:pt idx="0">
                  <c:v>59090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3F46-4548-91B3-20CF254A537A}"/>
            </c:ext>
          </c:extLst>
        </c:ser>
        <c:ser>
          <c:idx val="80"/>
          <c:order val="80"/>
          <c:tx>
            <c:strRef>
              <c:f>Calculations!$A$254</c:f>
              <c:strCache>
                <c:ptCount val="1"/>
                <c:pt idx="0">
                  <c:v>Vietnam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Calculations!$G$254</c:f>
              <c:numCache>
                <c:formatCode>0</c:formatCode>
                <c:ptCount val="1"/>
                <c:pt idx="0">
                  <c:v>68950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3F46-4548-91B3-20CF254A537A}"/>
            </c:ext>
          </c:extLst>
        </c:ser>
        <c:ser>
          <c:idx val="81"/>
          <c:order val="81"/>
          <c:tx>
            <c:strRef>
              <c:f>Calculations!$A$255</c:f>
              <c:strCache>
                <c:ptCount val="1"/>
                <c:pt idx="0">
                  <c:v>Indonesia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Calculations!$G$255</c:f>
            </c:numRef>
          </c:val>
          <c:extLst>
            <c:ext xmlns:c16="http://schemas.microsoft.com/office/drawing/2014/chart" uri="{C3380CC4-5D6E-409C-BE32-E72D297353CC}">
              <c16:uniqueId val="{00000051-3F46-4548-91B3-20CF254A537A}"/>
            </c:ext>
          </c:extLst>
        </c:ser>
        <c:ser>
          <c:idx val="82"/>
          <c:order val="82"/>
          <c:tx>
            <c:strRef>
              <c:f>Calculations!$A$256</c:f>
              <c:strCache>
                <c:ptCount val="1"/>
                <c:pt idx="0">
                  <c:v>Ivory Coast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Calculations!$G$256</c:f>
            </c:numRef>
          </c:val>
          <c:extLst>
            <c:ext xmlns:c16="http://schemas.microsoft.com/office/drawing/2014/chart" uri="{C3380CC4-5D6E-409C-BE32-E72D297353CC}">
              <c16:uniqueId val="{00000052-3F46-4548-91B3-20CF254A537A}"/>
            </c:ext>
          </c:extLst>
        </c:ser>
        <c:ser>
          <c:idx val="83"/>
          <c:order val="83"/>
          <c:tx>
            <c:strRef>
              <c:f>Calculations!$A$257</c:f>
              <c:strCache>
                <c:ptCount val="1"/>
                <c:pt idx="0">
                  <c:v>Benin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Calculations!$G$257</c:f>
            </c:numRef>
          </c:val>
          <c:extLst>
            <c:ext xmlns:c16="http://schemas.microsoft.com/office/drawing/2014/chart" uri="{C3380CC4-5D6E-409C-BE32-E72D297353CC}">
              <c16:uniqueId val="{00000053-3F46-4548-91B3-20CF254A537A}"/>
            </c:ext>
          </c:extLst>
        </c:ser>
        <c:ser>
          <c:idx val="84"/>
          <c:order val="84"/>
          <c:tx>
            <c:strRef>
              <c:f>Calculations!$A$258</c:f>
              <c:strCache>
                <c:ptCount val="1"/>
                <c:pt idx="0">
                  <c:v>Maldives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Calculations!$G$258</c:f>
            </c:numRef>
          </c:val>
          <c:extLst>
            <c:ext xmlns:c16="http://schemas.microsoft.com/office/drawing/2014/chart" uri="{C3380CC4-5D6E-409C-BE32-E72D297353CC}">
              <c16:uniqueId val="{00000054-3F46-4548-91B3-20CF254A537A}"/>
            </c:ext>
          </c:extLst>
        </c:ser>
        <c:ser>
          <c:idx val="85"/>
          <c:order val="85"/>
          <c:tx>
            <c:strRef>
              <c:f>Calculations!$A$259</c:f>
              <c:strCache>
                <c:ptCount val="1"/>
                <c:pt idx="0">
                  <c:v>Congo (Brazzaville)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Calculations!$G$259</c:f>
            </c:numRef>
          </c:val>
          <c:extLst>
            <c:ext xmlns:c16="http://schemas.microsoft.com/office/drawing/2014/chart" uri="{C3380CC4-5D6E-409C-BE32-E72D297353CC}">
              <c16:uniqueId val="{00000055-3F46-4548-91B3-20CF254A537A}"/>
            </c:ext>
          </c:extLst>
        </c:ser>
        <c:ser>
          <c:idx val="86"/>
          <c:order val="86"/>
          <c:tx>
            <c:strRef>
              <c:f>Calculations!$A$260</c:f>
              <c:strCache>
                <c:ptCount val="1"/>
                <c:pt idx="0">
                  <c:v>Azerbaijan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Calculations!$G$260</c:f>
            </c:numRef>
          </c:val>
          <c:extLst>
            <c:ext xmlns:c16="http://schemas.microsoft.com/office/drawing/2014/chart" uri="{C3380CC4-5D6E-409C-BE32-E72D297353CC}">
              <c16:uniqueId val="{00000056-3F46-4548-91B3-20CF254A537A}"/>
            </c:ext>
          </c:extLst>
        </c:ser>
        <c:ser>
          <c:idx val="87"/>
          <c:order val="87"/>
          <c:tx>
            <c:strRef>
              <c:f>Calculations!$A$261</c:f>
              <c:strCache>
                <c:ptCount val="1"/>
                <c:pt idx="0">
                  <c:v>Macedonia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Calculations!$G$261</c:f>
            </c:numRef>
          </c:val>
          <c:extLst>
            <c:ext xmlns:c16="http://schemas.microsoft.com/office/drawing/2014/chart" uri="{C3380CC4-5D6E-409C-BE32-E72D297353CC}">
              <c16:uniqueId val="{00000057-3F46-4548-91B3-20CF254A537A}"/>
            </c:ext>
          </c:extLst>
        </c:ser>
        <c:ser>
          <c:idx val="88"/>
          <c:order val="88"/>
          <c:tx>
            <c:strRef>
              <c:f>Calculations!$A$262</c:f>
              <c:strCache>
                <c:ptCount val="1"/>
                <c:pt idx="0">
                  <c:v>Ghana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Calculations!$G$262</c:f>
            </c:numRef>
          </c:val>
          <c:extLst>
            <c:ext xmlns:c16="http://schemas.microsoft.com/office/drawing/2014/chart" uri="{C3380CC4-5D6E-409C-BE32-E72D297353CC}">
              <c16:uniqueId val="{00000058-3F46-4548-91B3-20CF254A537A}"/>
            </c:ext>
          </c:extLst>
        </c:ser>
        <c:ser>
          <c:idx val="89"/>
          <c:order val="89"/>
          <c:tx>
            <c:strRef>
              <c:f>Calculations!$A$263</c:f>
              <c:strCache>
                <c:ptCount val="1"/>
                <c:pt idx="0">
                  <c:v>Nepal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Calculations!$G$263</c:f>
            </c:numRef>
          </c:val>
          <c:extLst>
            <c:ext xmlns:c16="http://schemas.microsoft.com/office/drawing/2014/chart" uri="{C3380CC4-5D6E-409C-BE32-E72D297353CC}">
              <c16:uniqueId val="{00000059-3F46-4548-91B3-20CF254A537A}"/>
            </c:ext>
          </c:extLst>
        </c:ser>
        <c:ser>
          <c:idx val="90"/>
          <c:order val="90"/>
          <c:tx>
            <c:strRef>
              <c:f>Calculations!$A$264</c:f>
              <c:strCache>
                <c:ptCount val="1"/>
                <c:pt idx="0">
                  <c:v>Turkey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Calculations!$G$264</c:f>
            </c:numRef>
          </c:val>
          <c:extLst>
            <c:ext xmlns:c16="http://schemas.microsoft.com/office/drawing/2014/chart" uri="{C3380CC4-5D6E-409C-BE32-E72D297353CC}">
              <c16:uniqueId val="{0000005A-3F46-4548-91B3-20CF254A537A}"/>
            </c:ext>
          </c:extLst>
        </c:ser>
        <c:ser>
          <c:idx val="91"/>
          <c:order val="91"/>
          <c:tx>
            <c:strRef>
              <c:f>Calculations!$A$265</c:f>
              <c:strCache>
                <c:ptCount val="1"/>
                <c:pt idx="0">
                  <c:v>China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Calculations!$G$265</c:f>
              <c:numCache>
                <c:formatCode>0</c:formatCode>
                <c:ptCount val="1"/>
                <c:pt idx="0">
                  <c:v>84880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3F46-4548-91B3-20CF254A537A}"/>
            </c:ext>
          </c:extLst>
        </c:ser>
        <c:ser>
          <c:idx val="92"/>
          <c:order val="92"/>
          <c:tx>
            <c:strRef>
              <c:f>Calculations!$A$266</c:f>
              <c:strCache>
                <c:ptCount val="1"/>
                <c:pt idx="0">
                  <c:v>Turkmenistan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Calculations!$G$266</c:f>
            </c:numRef>
          </c:val>
          <c:extLst>
            <c:ext xmlns:c16="http://schemas.microsoft.com/office/drawing/2014/chart" uri="{C3380CC4-5D6E-409C-BE32-E72D297353CC}">
              <c16:uniqueId val="{0000005C-3F46-4548-91B3-20CF254A537A}"/>
            </c:ext>
          </c:extLst>
        </c:ser>
        <c:ser>
          <c:idx val="93"/>
          <c:order val="93"/>
          <c:tx>
            <c:strRef>
              <c:f>Calculations!$A$267</c:f>
              <c:strCache>
                <c:ptCount val="1"/>
                <c:pt idx="0">
                  <c:v>Bulgaria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Calculations!$G$267</c:f>
            </c:numRef>
          </c:val>
          <c:extLst>
            <c:ext xmlns:c16="http://schemas.microsoft.com/office/drawing/2014/chart" uri="{C3380CC4-5D6E-409C-BE32-E72D297353CC}">
              <c16:uniqueId val="{0000005D-3F46-4548-91B3-20CF254A537A}"/>
            </c:ext>
          </c:extLst>
        </c:ser>
        <c:ser>
          <c:idx val="94"/>
          <c:order val="94"/>
          <c:tx>
            <c:strRef>
              <c:f>Calculations!$A$268</c:f>
              <c:strCache>
                <c:ptCount val="1"/>
                <c:pt idx="0">
                  <c:v>Morocco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Calculations!$G$268</c:f>
            </c:numRef>
          </c:val>
          <c:extLst>
            <c:ext xmlns:c16="http://schemas.microsoft.com/office/drawing/2014/chart" uri="{C3380CC4-5D6E-409C-BE32-E72D297353CC}">
              <c16:uniqueId val="{0000005E-3F46-4548-91B3-20CF254A537A}"/>
            </c:ext>
          </c:extLst>
        </c:ser>
        <c:ser>
          <c:idx val="95"/>
          <c:order val="95"/>
          <c:tx>
            <c:strRef>
              <c:f>Calculations!$A$269</c:f>
              <c:strCache>
                <c:ptCount val="1"/>
                <c:pt idx="0">
                  <c:v>Cameroon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Calculations!$G$269</c:f>
            </c:numRef>
          </c:val>
          <c:extLst>
            <c:ext xmlns:c16="http://schemas.microsoft.com/office/drawing/2014/chart" uri="{C3380CC4-5D6E-409C-BE32-E72D297353CC}">
              <c16:uniqueId val="{0000005F-3F46-4548-91B3-20CF254A537A}"/>
            </c:ext>
          </c:extLst>
        </c:ser>
        <c:ser>
          <c:idx val="96"/>
          <c:order val="96"/>
          <c:tx>
            <c:strRef>
              <c:f>Calculations!$A$270</c:f>
              <c:strCache>
                <c:ptCount val="1"/>
                <c:pt idx="0">
                  <c:v>Venezuela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Calculations!$G$270</c:f>
              <c:numCache>
                <c:formatCode>0</c:formatCode>
                <c:ptCount val="1"/>
                <c:pt idx="0">
                  <c:v>55350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3F46-4548-91B3-20CF254A537A}"/>
            </c:ext>
          </c:extLst>
        </c:ser>
        <c:ser>
          <c:idx val="97"/>
          <c:order val="97"/>
          <c:tx>
            <c:strRef>
              <c:f>Calculations!$A$271</c:f>
              <c:strCache>
                <c:ptCount val="1"/>
                <c:pt idx="0">
                  <c:v>Algeria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Calculations!$G$271</c:f>
            </c:numRef>
          </c:val>
          <c:extLst>
            <c:ext xmlns:c16="http://schemas.microsoft.com/office/drawing/2014/chart" uri="{C3380CC4-5D6E-409C-BE32-E72D297353CC}">
              <c16:uniqueId val="{00000061-3F46-4548-91B3-20CF254A537A}"/>
            </c:ext>
          </c:extLst>
        </c:ser>
        <c:ser>
          <c:idx val="98"/>
          <c:order val="98"/>
          <c:tx>
            <c:strRef>
              <c:f>Calculations!$A$272</c:f>
              <c:strCache>
                <c:ptCount val="1"/>
                <c:pt idx="0">
                  <c:v>Senegal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Calculations!$G$272</c:f>
            </c:numRef>
          </c:val>
          <c:extLst>
            <c:ext xmlns:c16="http://schemas.microsoft.com/office/drawing/2014/chart" uri="{C3380CC4-5D6E-409C-BE32-E72D297353CC}">
              <c16:uniqueId val="{00000062-3F46-4548-91B3-20CF254A537A}"/>
            </c:ext>
          </c:extLst>
        </c:ser>
        <c:ser>
          <c:idx val="99"/>
          <c:order val="99"/>
          <c:tx>
            <c:strRef>
              <c:f>Calculations!$A$273</c:f>
              <c:strCache>
                <c:ptCount val="1"/>
                <c:pt idx="0">
                  <c:v>Guinea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Calculations!$G$273</c:f>
            </c:numRef>
          </c:val>
          <c:extLst>
            <c:ext xmlns:c16="http://schemas.microsoft.com/office/drawing/2014/chart" uri="{C3380CC4-5D6E-409C-BE32-E72D297353CC}">
              <c16:uniqueId val="{00000063-3F46-4548-91B3-20CF254A537A}"/>
            </c:ext>
          </c:extLst>
        </c:ser>
        <c:ser>
          <c:idx val="100"/>
          <c:order val="100"/>
          <c:tx>
            <c:strRef>
              <c:f>Calculations!$A$274</c:f>
              <c:strCache>
                <c:ptCount val="1"/>
                <c:pt idx="0">
                  <c:v>Niger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Calculations!$G$274</c:f>
            </c:numRef>
          </c:val>
          <c:extLst>
            <c:ext xmlns:c16="http://schemas.microsoft.com/office/drawing/2014/chart" uri="{C3380CC4-5D6E-409C-BE32-E72D297353CC}">
              <c16:uniqueId val="{00000064-3F46-4548-91B3-20CF254A537A}"/>
            </c:ext>
          </c:extLst>
        </c:ser>
        <c:ser>
          <c:idx val="101"/>
          <c:order val="101"/>
          <c:tx>
            <c:strRef>
              <c:f>Calculations!$A$275</c:f>
              <c:strCache>
                <c:ptCount val="1"/>
                <c:pt idx="0">
                  <c:v>Laos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Calculations!$G$275</c:f>
            </c:numRef>
          </c:val>
          <c:extLst>
            <c:ext xmlns:c16="http://schemas.microsoft.com/office/drawing/2014/chart" uri="{C3380CC4-5D6E-409C-BE32-E72D297353CC}">
              <c16:uniqueId val="{00000065-3F46-4548-91B3-20CF254A537A}"/>
            </c:ext>
          </c:extLst>
        </c:ser>
        <c:ser>
          <c:idx val="102"/>
          <c:order val="102"/>
          <c:tx>
            <c:strRef>
              <c:f>Calculations!$A$276</c:f>
              <c:strCache>
                <c:ptCount val="1"/>
                <c:pt idx="0">
                  <c:v>Albania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Calculations!$G$276</c:f>
            </c:numRef>
          </c:val>
          <c:extLst>
            <c:ext xmlns:c16="http://schemas.microsoft.com/office/drawing/2014/chart" uri="{C3380CC4-5D6E-409C-BE32-E72D297353CC}">
              <c16:uniqueId val="{00000066-3F46-4548-91B3-20CF254A537A}"/>
            </c:ext>
          </c:extLst>
        </c:ser>
        <c:ser>
          <c:idx val="103"/>
          <c:order val="103"/>
          <c:tx>
            <c:strRef>
              <c:f>Calculations!$A$277</c:f>
              <c:strCache>
                <c:ptCount val="1"/>
                <c:pt idx="0">
                  <c:v>Cambodia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Calculations!$G$277</c:f>
            </c:numRef>
          </c:val>
          <c:extLst>
            <c:ext xmlns:c16="http://schemas.microsoft.com/office/drawing/2014/chart" uri="{C3380CC4-5D6E-409C-BE32-E72D297353CC}">
              <c16:uniqueId val="{00000067-3F46-4548-91B3-20CF254A537A}"/>
            </c:ext>
          </c:extLst>
        </c:ser>
        <c:ser>
          <c:idx val="104"/>
          <c:order val="104"/>
          <c:tx>
            <c:strRef>
              <c:f>Calculations!$A$278</c:f>
              <c:strCache>
                <c:ptCount val="1"/>
                <c:pt idx="0">
                  <c:v>Bangladesh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Calculations!$G$278</c:f>
            </c:numRef>
          </c:val>
          <c:extLst>
            <c:ext xmlns:c16="http://schemas.microsoft.com/office/drawing/2014/chart" uri="{C3380CC4-5D6E-409C-BE32-E72D297353CC}">
              <c16:uniqueId val="{00000068-3F46-4548-91B3-20CF254A537A}"/>
            </c:ext>
          </c:extLst>
        </c:ser>
        <c:ser>
          <c:idx val="105"/>
          <c:order val="105"/>
          <c:tx>
            <c:strRef>
              <c:f>Calculations!$A$279</c:f>
              <c:strCache>
                <c:ptCount val="1"/>
                <c:pt idx="0">
                  <c:v>Gabon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Calculations!$G$279</c:f>
            </c:numRef>
          </c:val>
          <c:extLst>
            <c:ext xmlns:c16="http://schemas.microsoft.com/office/drawing/2014/chart" uri="{C3380CC4-5D6E-409C-BE32-E72D297353CC}">
              <c16:uniqueId val="{00000069-3F46-4548-91B3-20CF254A537A}"/>
            </c:ext>
          </c:extLst>
        </c:ser>
        <c:ser>
          <c:idx val="106"/>
          <c:order val="106"/>
          <c:tx>
            <c:strRef>
              <c:f>Calculations!$A$280</c:f>
              <c:strCache>
                <c:ptCount val="1"/>
                <c:pt idx="0">
                  <c:v>South Africa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Calculations!$G$280</c:f>
              <c:numCache>
                <c:formatCode>0</c:formatCode>
                <c:ptCount val="1"/>
                <c:pt idx="0">
                  <c:v>60790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3F46-4548-91B3-20CF254A537A}"/>
            </c:ext>
          </c:extLst>
        </c:ser>
        <c:ser>
          <c:idx val="107"/>
          <c:order val="107"/>
          <c:tx>
            <c:strRef>
              <c:f>Calculations!$A$281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Calculations!$G$281</c:f>
            </c:numRef>
          </c:val>
          <c:extLst>
            <c:ext xmlns:c16="http://schemas.microsoft.com/office/drawing/2014/chart" uri="{C3380CC4-5D6E-409C-BE32-E72D297353CC}">
              <c16:uniqueId val="{0000006B-3F46-4548-91B3-20CF254A537A}"/>
            </c:ext>
          </c:extLst>
        </c:ser>
        <c:ser>
          <c:idx val="108"/>
          <c:order val="108"/>
          <c:tx>
            <c:strRef>
              <c:f>Calculations!$A$282</c:f>
              <c:strCache>
                <c:ptCount val="1"/>
                <c:pt idx="0">
                  <c:v>Lebanon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Calculations!$G$282</c:f>
            </c:numRef>
          </c:val>
          <c:extLst>
            <c:ext xmlns:c16="http://schemas.microsoft.com/office/drawing/2014/chart" uri="{C3380CC4-5D6E-409C-BE32-E72D297353CC}">
              <c16:uniqueId val="{0000006C-3F46-4548-91B3-20CF254A537A}"/>
            </c:ext>
          </c:extLst>
        </c:ser>
        <c:ser>
          <c:idx val="109"/>
          <c:order val="109"/>
          <c:tx>
            <c:strRef>
              <c:f>Calculations!$A$283</c:f>
              <c:strCache>
                <c:ptCount val="1"/>
                <c:pt idx="0">
                  <c:v>Burkina Faso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Calculations!$G$283</c:f>
            </c:numRef>
          </c:val>
          <c:extLst>
            <c:ext xmlns:c16="http://schemas.microsoft.com/office/drawing/2014/chart" uri="{C3380CC4-5D6E-409C-BE32-E72D297353CC}">
              <c16:uniqueId val="{0000006D-3F46-4548-91B3-20CF254A537A}"/>
            </c:ext>
          </c:extLst>
        </c:ser>
        <c:ser>
          <c:idx val="110"/>
          <c:order val="110"/>
          <c:tx>
            <c:strRef>
              <c:f>Calculations!$A$284</c:f>
              <c:strCache>
                <c:ptCount val="1"/>
                <c:pt idx="0">
                  <c:v>Gambia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Calculations!$G$284</c:f>
            </c:numRef>
          </c:val>
          <c:extLst>
            <c:ext xmlns:c16="http://schemas.microsoft.com/office/drawing/2014/chart" uri="{C3380CC4-5D6E-409C-BE32-E72D297353CC}">
              <c16:uniqueId val="{0000006E-3F46-4548-91B3-20CF254A537A}"/>
            </c:ext>
          </c:extLst>
        </c:ser>
        <c:ser>
          <c:idx val="111"/>
          <c:order val="111"/>
          <c:tx>
            <c:strRef>
              <c:f>Calculations!$A$285</c:f>
              <c:strCache>
                <c:ptCount val="1"/>
                <c:pt idx="0">
                  <c:v>Mali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Calculations!$G$285</c:f>
            </c:numRef>
          </c:val>
          <c:extLst>
            <c:ext xmlns:c16="http://schemas.microsoft.com/office/drawing/2014/chart" uri="{C3380CC4-5D6E-409C-BE32-E72D297353CC}">
              <c16:uniqueId val="{0000006F-3F46-4548-91B3-20CF254A537A}"/>
            </c:ext>
          </c:extLst>
        </c:ser>
        <c:ser>
          <c:idx val="112"/>
          <c:order val="112"/>
          <c:tx>
            <c:strRef>
              <c:f>Calculations!$A$286</c:f>
              <c:strCache>
                <c:ptCount val="1"/>
                <c:pt idx="0">
                  <c:v>Nigeria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Calculations!$G$286</c:f>
            </c:numRef>
          </c:val>
          <c:extLst>
            <c:ext xmlns:c16="http://schemas.microsoft.com/office/drawing/2014/chart" uri="{C3380CC4-5D6E-409C-BE32-E72D297353CC}">
              <c16:uniqueId val="{00000070-3F46-4548-91B3-20CF254A537A}"/>
            </c:ext>
          </c:extLst>
        </c:ser>
        <c:ser>
          <c:idx val="113"/>
          <c:order val="113"/>
          <c:tx>
            <c:strRef>
              <c:f>Calculations!$A$287</c:f>
              <c:strCache>
                <c:ptCount val="1"/>
                <c:pt idx="0">
                  <c:v>Armenia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Calculations!$G$287</c:f>
              <c:numCache>
                <c:formatCode>0</c:formatCode>
                <c:ptCount val="1"/>
                <c:pt idx="0">
                  <c:v>77810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3F46-4548-91B3-20CF254A537A}"/>
            </c:ext>
          </c:extLst>
        </c:ser>
        <c:ser>
          <c:idx val="114"/>
          <c:order val="114"/>
          <c:tx>
            <c:strRef>
              <c:f>Calculations!$A$288</c:f>
              <c:strCache>
                <c:ptCount val="1"/>
                <c:pt idx="0">
                  <c:v>Georgia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Calculations!$G$288</c:f>
            </c:numRef>
          </c:val>
          <c:extLst>
            <c:ext xmlns:c16="http://schemas.microsoft.com/office/drawing/2014/chart" uri="{C3380CC4-5D6E-409C-BE32-E72D297353CC}">
              <c16:uniqueId val="{00000072-3F46-4548-91B3-20CF254A537A}"/>
            </c:ext>
          </c:extLst>
        </c:ser>
        <c:ser>
          <c:idx val="115"/>
          <c:order val="115"/>
          <c:tx>
            <c:strRef>
              <c:f>Calculations!$A$289</c:f>
              <c:strCache>
                <c:ptCount val="1"/>
                <c:pt idx="0">
                  <c:v>Iran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Calculations!$G$289</c:f>
            </c:numRef>
          </c:val>
          <c:extLst>
            <c:ext xmlns:c16="http://schemas.microsoft.com/office/drawing/2014/chart" uri="{C3380CC4-5D6E-409C-BE32-E72D297353CC}">
              <c16:uniqueId val="{00000073-3F46-4548-91B3-20CF254A537A}"/>
            </c:ext>
          </c:extLst>
        </c:ser>
        <c:ser>
          <c:idx val="116"/>
          <c:order val="116"/>
          <c:tx>
            <c:strRef>
              <c:f>Calculations!$A$290</c:f>
              <c:strCache>
                <c:ptCount val="1"/>
                <c:pt idx="0">
                  <c:v>Jordan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Calculations!$G$290</c:f>
            </c:numRef>
          </c:val>
          <c:extLst>
            <c:ext xmlns:c16="http://schemas.microsoft.com/office/drawing/2014/chart" uri="{C3380CC4-5D6E-409C-BE32-E72D297353CC}">
              <c16:uniqueId val="{00000074-3F46-4548-91B3-20CF254A537A}"/>
            </c:ext>
          </c:extLst>
        </c:ser>
        <c:ser>
          <c:idx val="117"/>
          <c:order val="117"/>
          <c:tx>
            <c:strRef>
              <c:f>Calculations!$A$291</c:f>
              <c:strCache>
                <c:ptCount val="1"/>
                <c:pt idx="0">
                  <c:v>Mozambique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Calculations!$G$173</c:f>
              <c:strCache>
                <c:ptCount val="1"/>
                <c:pt idx="0">
                  <c:v>Change in Happiness</c:v>
                </c:pt>
              </c:strCache>
            </c:strRef>
          </c:cat>
          <c:val>
            <c:numRef>
              <c:f>Calculations!$G$291</c:f>
              <c:numCache>
                <c:formatCode>0</c:formatCode>
                <c:ptCount val="1"/>
                <c:pt idx="0">
                  <c:v>59280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3F46-4548-91B3-20CF254A53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12283568"/>
        <c:axId val="312289520"/>
      </c:barChart>
      <c:catAx>
        <c:axId val="312283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2289520"/>
        <c:crosses val="autoZero"/>
        <c:auto val="0"/>
        <c:lblAlgn val="ctr"/>
        <c:lblOffset val="100"/>
        <c:noMultiLvlLbl val="0"/>
      </c:catAx>
      <c:valAx>
        <c:axId val="31228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6954904613670923E-2"/>
          <c:y val="0.17632668134005033"/>
          <c:w val="0.12088783756359726"/>
          <c:h val="0.70709370843060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Indicator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'Calculations 2'!$F$1</c:f>
              <c:strCache>
                <c:ptCount val="1"/>
                <c:pt idx="0">
                  <c:v>Business Indicator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'Calculations 2'!$E$2:$E$11</c:f>
              <c:strCache>
                <c:ptCount val="10"/>
                <c:pt idx="0">
                  <c:v>Western Europe</c:v>
                </c:pt>
                <c:pt idx="1">
                  <c:v>North America and ANZ</c:v>
                </c:pt>
                <c:pt idx="2">
                  <c:v>Middle East and North Africa</c:v>
                </c:pt>
                <c:pt idx="3">
                  <c:v>Latin America and Caribbean</c:v>
                </c:pt>
                <c:pt idx="4">
                  <c:v>Central and Eastern Europe</c:v>
                </c:pt>
                <c:pt idx="5">
                  <c:v>East Asia</c:v>
                </c:pt>
                <c:pt idx="6">
                  <c:v>Southeast Asia</c:v>
                </c:pt>
                <c:pt idx="7">
                  <c:v>Commonwealth of Independent States</c:v>
                </c:pt>
                <c:pt idx="8">
                  <c:v>Sub-Saharan Africa</c:v>
                </c:pt>
                <c:pt idx="9">
                  <c:v>South Asia</c:v>
                </c:pt>
              </c:strCache>
            </c:strRef>
          </c:cat>
          <c:val>
            <c:numRef>
              <c:f>'Calculations 2'!$F$2:$F$11</c:f>
              <c:numCache>
                <c:formatCode>0</c:formatCode>
                <c:ptCount val="10"/>
                <c:pt idx="0">
                  <c:v>256937.84633027524</c:v>
                </c:pt>
                <c:pt idx="1">
                  <c:v>258267.47500000001</c:v>
                </c:pt>
                <c:pt idx="2">
                  <c:v>193074.88611111112</c:v>
                </c:pt>
                <c:pt idx="3">
                  <c:v>186341.13010204083</c:v>
                </c:pt>
                <c:pt idx="4">
                  <c:v>216027.77364864864</c:v>
                </c:pt>
                <c:pt idx="5">
                  <c:v>220996.03472222222</c:v>
                </c:pt>
                <c:pt idx="6">
                  <c:v>195404.59146341463</c:v>
                </c:pt>
                <c:pt idx="7">
                  <c:v>188349.22448979592</c:v>
                </c:pt>
                <c:pt idx="8">
                  <c:v>118579.07857142857</c:v>
                </c:pt>
                <c:pt idx="9">
                  <c:v>137294.31666666668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2-4DA6-8F62-2E802BDFD0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5611200"/>
        <c:axId val="415604960"/>
      </c:barChart>
      <c:catAx>
        <c:axId val="41561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04960"/>
        <c:crosses val="autoZero"/>
        <c:auto val="1"/>
        <c:lblAlgn val="ctr"/>
        <c:lblOffset val="100"/>
        <c:noMultiLvlLbl val="0"/>
      </c:catAx>
      <c:valAx>
        <c:axId val="415604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1013789</xdr:colOff>
      <xdr:row>170</xdr:row>
      <xdr:rowOff>139147</xdr:rowOff>
    </xdr:from>
    <xdr:to>
      <xdr:col>17</xdr:col>
      <xdr:colOff>26505</xdr:colOff>
      <xdr:row>334</xdr:row>
      <xdr:rowOff>172279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F30C2-FAAB-DC60-1665-EB2E7FE0F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7620</xdr:rowOff>
    </xdr:from>
    <xdr:to>
      <xdr:col>16</xdr:col>
      <xdr:colOff>495300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39B39-A1F2-ACF4-F60D-07A3A5027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del Williams" refreshedDate="45998.950888657404" createdVersion="8" refreshedVersion="8" minRefreshableVersion="3" recordCount="722" xr:uid="{1C63D9E6-29A2-4302-811C-80093A7DD237}">
  <cacheSource type="worksheet">
    <worksheetSource ref="A1:L723" sheet="Cleaned Data 2020 - 2024"/>
  </cacheSource>
  <cacheFields count="12">
    <cacheField name="Ranking" numFmtId="0">
      <sharedItems containsSemiMixedTypes="0" containsString="0" containsNumber="1" containsInteger="1" minValue="1" maxValue="153"/>
    </cacheField>
    <cacheField name="Country" numFmtId="0">
      <sharedItems/>
    </cacheField>
    <cacheField name="Regional indicator" numFmtId="0">
      <sharedItems count="10">
        <s v="Western Europe"/>
        <s v="North America and ANZ"/>
        <s v="Middle East and North Africa"/>
        <s v="Latin America and Caribbean"/>
        <s v="Central and Eastern Europe"/>
        <s v="East Asia"/>
        <s v="Southeast Asia"/>
        <s v="Commonwealth of Independent States"/>
        <s v="Sub-Saharan Africa"/>
        <s v="South Asia"/>
      </sharedItems>
    </cacheField>
    <cacheField name="Happiness score" numFmtId="0">
      <sharedItems containsSemiMixedTypes="0" containsString="0" containsNumber="1" containsInteger="1" minValue="172100" maxValue="784210"/>
    </cacheField>
    <cacheField name="GDP per capita" numFmtId="164">
      <sharedItems containsSemiMixedTypes="0" containsString="0" containsNumber="1" containsInteger="1" minValue="0" maxValue="1000000"/>
    </cacheField>
    <cacheField name="Social support" numFmtId="0">
      <sharedItems containsSemiMixedTypes="0" containsString="0" containsNumber="1" containsInteger="1" minValue="0" maxValue="100000"/>
    </cacheField>
    <cacheField name="Healthy life expectancy" numFmtId="0">
      <sharedItems containsSemiMixedTypes="0" containsString="0" containsNumber="1" containsInteger="1" minValue="39" maxValue="85"/>
    </cacheField>
    <cacheField name="Freedom to make life choices" numFmtId="0">
      <sharedItems containsSemiMixedTypes="0" containsString="0" containsNumber="1" containsInteger="1" minValue="0" maxValue="100000"/>
    </cacheField>
    <cacheField name="Generosity" numFmtId="0">
      <sharedItems containsSemiMixedTypes="0" containsString="0" containsNumber="1" containsInteger="1" minValue="0" maxValue="100000"/>
    </cacheField>
    <cacheField name="Perceptions of corruption" numFmtId="0">
      <sharedItems containsSemiMixedTypes="0" containsString="0" containsNumber="1" minValue="832" maxValue="100000"/>
    </cacheField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Good Business Indicator" numFmtId="1">
      <sharedItems containsSemiMixedTypes="0" containsString="0" containsNumber="1" minValue="11725.25" maxValue="29550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n v="1"/>
    <s v="Finland"/>
    <x v="0"/>
    <n v="780870"/>
    <n v="836344"/>
    <n v="96896"/>
    <n v="72"/>
    <n v="95535"/>
    <n v="28022"/>
    <n v="10373"/>
    <x v="0"/>
    <n v="257193.75"/>
  </r>
  <r>
    <n v="2"/>
    <s v="Denmark"/>
    <x v="0"/>
    <n v="764560"/>
    <n v="863519"/>
    <n v="97149"/>
    <n v="72"/>
    <n v="95928"/>
    <n v="42609"/>
    <n v="7109"/>
    <x v="0"/>
    <n v="264149"/>
  </r>
  <r>
    <n v="3"/>
    <s v="Switzerland"/>
    <x v="0"/>
    <n v="755990"/>
    <n v="905054"/>
    <n v="95143"/>
    <n v="74"/>
    <n v="90723"/>
    <n v="47218"/>
    <n v="23486"/>
    <x v="0"/>
    <n v="272730"/>
  </r>
  <r>
    <n v="4"/>
    <s v="Iceland"/>
    <x v="0"/>
    <n v="750450"/>
    <n v="863228"/>
    <n v="100000"/>
    <n v="73"/>
    <n v="95487"/>
    <n v="63587"/>
    <n v="72890"/>
    <x v="0"/>
    <n v="264678.75"/>
  </r>
  <r>
    <n v="5"/>
    <s v="Norway"/>
    <x v="0"/>
    <n v="748800"/>
    <n v="926810"/>
    <n v="96614"/>
    <n v="73"/>
    <n v="96672"/>
    <n v="50540"/>
    <n v="18580"/>
    <x v="0"/>
    <n v="280024"/>
  </r>
  <r>
    <n v="6"/>
    <s v="Netherlands"/>
    <x v="0"/>
    <n v="744890"/>
    <n v="871326"/>
    <n v="94577"/>
    <n v="72"/>
    <n v="88512"/>
    <n v="59022"/>
    <n v="30871"/>
    <x v="0"/>
    <n v="263603.75"/>
  </r>
  <r>
    <n v="7"/>
    <s v="Sweden"/>
    <x v="0"/>
    <n v="735350"/>
    <n v="860451"/>
    <n v="92619"/>
    <n v="73"/>
    <n v="93801"/>
    <n v="47880"/>
    <n v="17086"/>
    <x v="0"/>
    <n v="261717.75"/>
  </r>
  <r>
    <n v="8"/>
    <s v="New Zealand"/>
    <x v="1"/>
    <n v="729960"/>
    <n v="808445"/>
    <n v="96100"/>
    <n v="73"/>
    <n v="93295"/>
    <n v="57164"/>
    <n v="13484"/>
    <x v="0"/>
    <n v="249460"/>
  </r>
  <r>
    <n v="9"/>
    <s v="Austria"/>
    <x v="0"/>
    <n v="729420"/>
    <n v="857230"/>
    <n v="92884"/>
    <n v="73"/>
    <n v="87032"/>
    <n v="44841"/>
    <n v="47248"/>
    <x v="0"/>
    <n v="259286.5"/>
  </r>
  <r>
    <n v="10"/>
    <s v="Luxembourg"/>
    <x v="0"/>
    <n v="723750"/>
    <n v="1000000"/>
    <n v="89659"/>
    <n v="73"/>
    <n v="88009"/>
    <n v="34389"/>
    <n v="31158"/>
    <x v="0"/>
    <n v="294417"/>
  </r>
  <r>
    <n v="11"/>
    <s v="Canada"/>
    <x v="1"/>
    <n v="723210"/>
    <n v="847054"/>
    <n v="92751"/>
    <n v="74"/>
    <n v="92897"/>
    <n v="49407"/>
    <n v="34035"/>
    <x v="0"/>
    <n v="258175.5"/>
  </r>
  <r>
    <n v="12"/>
    <s v="Australia"/>
    <x v="1"/>
    <n v="722280"/>
    <n v="852747"/>
    <n v="95450"/>
    <n v="74"/>
    <n v="89702"/>
    <n v="57032"/>
    <n v="36980"/>
    <x v="0"/>
    <n v="259474.75"/>
  </r>
  <r>
    <n v="13"/>
    <s v="United Kingdom"/>
    <x v="0"/>
    <n v="716450"/>
    <n v="828451"/>
    <n v="94202"/>
    <n v="72"/>
    <n v="75752"/>
    <n v="65536"/>
    <n v="39493"/>
    <x v="0"/>
    <n v="249601.25"/>
  </r>
  <r>
    <n v="14"/>
    <s v="Israel"/>
    <x v="2"/>
    <n v="712860"/>
    <n v="791620"/>
    <n v="90675"/>
    <n v="73"/>
    <n v="60683"/>
    <n v="46833"/>
    <n v="81263"/>
    <x v="0"/>
    <n v="235744.5"/>
  </r>
  <r>
    <n v="15"/>
    <s v="Costa Rica"/>
    <x v="3"/>
    <n v="712140"/>
    <n v="638461"/>
    <n v="88840"/>
    <n v="71"/>
    <n v="93040"/>
    <n v="23037"/>
    <n v="81926"/>
    <x v="0"/>
    <n v="205085.25"/>
  </r>
  <r>
    <n v="16"/>
    <s v="Ireland"/>
    <x v="0"/>
    <n v="709370"/>
    <n v="941569"/>
    <n v="95026"/>
    <n v="72"/>
    <n v="84784"/>
    <n v="51846"/>
    <n v="29959"/>
    <x v="0"/>
    <n v="280344.75"/>
  </r>
  <r>
    <n v="17"/>
    <s v="Germany"/>
    <x v="0"/>
    <n v="707580"/>
    <n v="855212"/>
    <n v="88432"/>
    <n v="72"/>
    <n v="81393"/>
    <n v="44232"/>
    <n v="41976"/>
    <x v="0"/>
    <n v="256259.25"/>
  </r>
  <r>
    <n v="18"/>
    <s v="United States"/>
    <x v="1"/>
    <n v="693960"/>
    <n v="894129"/>
    <n v="90774"/>
    <n v="68"/>
    <n v="77114"/>
    <n v="52323"/>
    <n v="71437"/>
    <x v="0"/>
    <n v="265504.25"/>
  </r>
  <r>
    <n v="19"/>
    <s v="Czechia"/>
    <x v="4"/>
    <n v="691090"/>
    <n v="788925"/>
    <n v="90806"/>
    <n v="70"/>
    <n v="72951"/>
    <n v="8130"/>
    <n v="90659"/>
    <x v="0"/>
    <n v="238170.5"/>
  </r>
  <r>
    <n v="20"/>
    <s v="Belgium"/>
    <x v="0"/>
    <n v="686350"/>
    <n v="843276"/>
    <n v="90379"/>
    <n v="72"/>
    <n v="72094"/>
    <n v="25792"/>
    <n v="60852"/>
    <x v="0"/>
    <n v="251437.25"/>
  </r>
  <r>
    <n v="21"/>
    <s v="United Arab Emirates"/>
    <x v="2"/>
    <n v="679080"/>
    <n v="931287"/>
    <n v="80848"/>
    <n v="67"/>
    <n v="94182"/>
    <n v="49254"/>
    <n v="58697"/>
    <x v="0"/>
    <n v="276579.25"/>
  </r>
  <r>
    <n v="22"/>
    <s v="Malta"/>
    <x v="0"/>
    <n v="677280"/>
    <n v="815080"/>
    <n v="93240"/>
    <n v="72"/>
    <n v="91341"/>
    <n v="59876"/>
    <n v="66452"/>
    <x v="0"/>
    <n v="249915.25"/>
  </r>
  <r>
    <n v="23"/>
    <s v="France"/>
    <x v="0"/>
    <n v="666380"/>
    <n v="825242"/>
    <n v="94267"/>
    <n v="74"/>
    <n v="74149"/>
    <n v="19762"/>
    <n v="57367"/>
    <x v="0"/>
    <n v="248414.5"/>
  </r>
  <r>
    <n v="24"/>
    <s v="Mexico"/>
    <x v="3"/>
    <n v="646500"/>
    <n v="666626"/>
    <n v="79243"/>
    <n v="68"/>
    <n v="79896"/>
    <n v="14583"/>
    <n v="84407"/>
    <x v="0"/>
    <n v="206441.25"/>
  </r>
  <r>
    <n v="25"/>
    <s v="Taiwan Province of China"/>
    <x v="5"/>
    <n v="645540"/>
    <n v="863858"/>
    <n v="87735"/>
    <n v="70"/>
    <n v="64824"/>
    <n v="26429"/>
    <n v="75333"/>
    <x v="0"/>
    <n v="254104.25"/>
  </r>
  <r>
    <n v="26"/>
    <s v="Uruguay"/>
    <x v="3"/>
    <n v="644010"/>
    <n v="696959"/>
    <n v="92085"/>
    <n v="69"/>
    <n v="85719"/>
    <n v="23191"/>
    <n v="63721"/>
    <x v="0"/>
    <n v="218690.75"/>
  </r>
  <r>
    <n v="27"/>
    <s v="Saudi Arabia"/>
    <x v="2"/>
    <n v="640650"/>
    <n v="868321"/>
    <n v="84646"/>
    <n v="66"/>
    <n v="79115"/>
    <n v="15345"/>
    <n v="69367"/>
    <x v="0"/>
    <n v="258020.5"/>
  </r>
  <r>
    <n v="28"/>
    <s v="Spain"/>
    <x v="0"/>
    <n v="640090"/>
    <n v="800777"/>
    <n v="91828"/>
    <n v="74"/>
    <n v="61446"/>
    <n v="29010"/>
    <n v="79447"/>
    <x v="0"/>
    <n v="238512.75"/>
  </r>
  <r>
    <n v="29"/>
    <s v="Guatemala"/>
    <x v="3"/>
    <n v="639890"/>
    <n v="490550"/>
    <n v="75878"/>
    <n v="65"/>
    <n v="88443"/>
    <n v="29942"/>
    <n v="81552"/>
    <x v="0"/>
    <n v="163717.75"/>
  </r>
  <r>
    <n v="30"/>
    <s v="Italy"/>
    <x v="0"/>
    <n v="638740"/>
    <n v="804591"/>
    <n v="87059"/>
    <n v="74"/>
    <n v="46346"/>
    <n v="29881"/>
    <n v="92470"/>
    <x v="0"/>
    <n v="234499"/>
  </r>
  <r>
    <n v="31"/>
    <s v="Singapore"/>
    <x v="6"/>
    <n v="637710"/>
    <n v="988875"/>
    <n v="90171"/>
    <n v="77"/>
    <n v="91641"/>
    <n v="38393"/>
    <n v="100000"/>
    <x v="0"/>
    <n v="292671.75"/>
  </r>
  <r>
    <n v="32"/>
    <s v="Brazil"/>
    <x v="3"/>
    <n v="637560"/>
    <n v="619961"/>
    <n v="88104"/>
    <n v="66"/>
    <n v="69712"/>
    <n v="23108"/>
    <n v="80021"/>
    <x v="0"/>
    <n v="194444.25"/>
  </r>
  <r>
    <n v="33"/>
    <s v="Slovenia"/>
    <x v="4"/>
    <n v="636340"/>
    <n v="786537"/>
    <n v="94644"/>
    <n v="71"/>
    <n v="93283"/>
    <n v="25570"/>
    <n v="85649"/>
    <x v="0"/>
    <n v="243616"/>
  </r>
  <r>
    <n v="34"/>
    <s v="El Salvador"/>
    <x v="3"/>
    <n v="634830"/>
    <n v="487377"/>
    <n v="74271"/>
    <n v="66"/>
    <n v="75590"/>
    <n v="20873"/>
    <n v="78050"/>
    <x v="0"/>
    <n v="159309.5"/>
  </r>
  <r>
    <n v="35"/>
    <s v="Kosovo"/>
    <x v="4"/>
    <n v="632520"/>
    <n v="546948"/>
    <n v="76505"/>
    <n v="64"/>
    <n v="80384"/>
    <n v="57087"/>
    <n v="98395"/>
    <x v="0"/>
    <n v="175959.25"/>
  </r>
  <r>
    <n v="36"/>
    <s v="Panama"/>
    <x v="3"/>
    <n v="630480"/>
    <n v="714313"/>
    <n v="88923"/>
    <n v="70"/>
    <n v="83640"/>
    <n v="17059"/>
    <n v="89829"/>
    <x v="0"/>
    <n v="221719"/>
  </r>
  <r>
    <n v="37"/>
    <s v="Slovakia"/>
    <x v="4"/>
    <n v="628060"/>
    <n v="777547"/>
    <n v="92037"/>
    <n v="69"/>
    <n v="61093"/>
    <n v="20486"/>
    <n v="97882"/>
    <x v="0"/>
    <n v="232669.25"/>
  </r>
  <r>
    <n v="38"/>
    <s v="Uzbekistan"/>
    <x v="7"/>
    <n v="625760"/>
    <n v="453351"/>
    <n v="92663"/>
    <n v="65"/>
    <n v="100000"/>
    <n v="63760"/>
    <n v="47434"/>
    <x v="0"/>
    <n v="161503.5"/>
  </r>
  <r>
    <n v="39"/>
    <s v="Chile"/>
    <x v="3"/>
    <n v="622850"/>
    <n v="713874"/>
    <n v="85508"/>
    <n v="70"/>
    <n v="60219"/>
    <n v="27303"/>
    <n v="88212"/>
    <x v="0"/>
    <n v="214900.25"/>
  </r>
  <r>
    <n v="40"/>
    <s v="Bahrain"/>
    <x v="2"/>
    <n v="622730"/>
    <n v="843829"/>
    <n v="84993"/>
    <n v="69"/>
    <n v="88046"/>
    <n v="50447"/>
    <n v="76237"/>
    <x v="0"/>
    <n v="254217"/>
  </r>
  <r>
    <n v="41"/>
    <s v="Lithuania"/>
    <x v="0"/>
    <n v="621550"/>
    <n v="776715"/>
    <n v="92588"/>
    <n v="67"/>
    <n v="60649"/>
    <n v="9423"/>
    <n v="84742"/>
    <x v="0"/>
    <n v="232488"/>
  </r>
  <r>
    <n v="42"/>
    <s v="Trinidad and Tobago"/>
    <x v="3"/>
    <n v="619190"/>
    <n v="759849"/>
    <n v="90938"/>
    <n v="64"/>
    <n v="79757"/>
    <n v="34987"/>
    <n v="97172"/>
    <x v="0"/>
    <n v="232636"/>
  </r>
  <r>
    <n v="43"/>
    <s v="Poland"/>
    <x v="4"/>
    <n v="618630"/>
    <n v="760882"/>
    <n v="84675"/>
    <n v="69"/>
    <n v="80474"/>
    <n v="11122"/>
    <n v="69889"/>
    <x v="0"/>
    <n v="231507.75"/>
  </r>
  <r>
    <n v="44"/>
    <s v="Colombia"/>
    <x v="3"/>
    <n v="616340"/>
    <n v="606636"/>
    <n v="86229"/>
    <n v="68"/>
    <n v="76001"/>
    <n v="16211"/>
    <n v="91401"/>
    <x v="0"/>
    <n v="192216.5"/>
  </r>
  <r>
    <n v="45"/>
    <s v="Cyprus"/>
    <x v="0"/>
    <n v="615900"/>
    <n v="789236"/>
    <n v="74257"/>
    <n v="74"/>
    <n v="66264"/>
    <n v="40001"/>
    <n v="90396"/>
    <x v="0"/>
    <n v="232439.25"/>
  </r>
  <r>
    <n v="46"/>
    <s v="Nicaragua"/>
    <x v="3"/>
    <n v="613710"/>
    <n v="403490"/>
    <n v="82117"/>
    <n v="68"/>
    <n v="80793"/>
    <n v="37358"/>
    <n v="67349"/>
    <x v="0"/>
    <n v="141600"/>
  </r>
  <r>
    <n v="47"/>
    <s v="Romania"/>
    <x v="4"/>
    <n v="612370"/>
    <n v="729107"/>
    <n v="77182"/>
    <n v="67"/>
    <n v="77149"/>
    <n v="11966"/>
    <n v="99844"/>
    <x v="0"/>
    <n v="220859.5"/>
  </r>
  <r>
    <n v="48"/>
    <s v="Kuwait"/>
    <x v="2"/>
    <n v="610210"/>
    <n v="927218"/>
    <n v="80435"/>
    <n v="67"/>
    <n v="82257"/>
    <n v="23297"/>
    <n v="78840"/>
    <x v="0"/>
    <n v="272477.5"/>
  </r>
  <r>
    <n v="49"/>
    <s v="Mauritius"/>
    <x v="8"/>
    <n v="610130"/>
    <n v="698692"/>
    <n v="90185"/>
    <n v="66"/>
    <n v="85225"/>
    <n v="32799"/>
    <n v="84228"/>
    <x v="0"/>
    <n v="218525.5"/>
  </r>
  <r>
    <n v="50"/>
    <s v="Kazakhstan"/>
    <x v="7"/>
    <n v="605790"/>
    <n v="730534"/>
    <n v="93907"/>
    <n v="65"/>
    <n v="71752"/>
    <n v="26976"/>
    <n v="79281"/>
    <x v="0"/>
    <n v="224048.25"/>
  </r>
  <r>
    <n v="51"/>
    <s v="Estonia"/>
    <x v="0"/>
    <n v="602180"/>
    <n v="775987"/>
    <n v="93904"/>
    <n v="69"/>
    <n v="83180"/>
    <n v="21961"/>
    <n v="62157"/>
    <x v="0"/>
    <n v="238267.75"/>
  </r>
  <r>
    <n v="52"/>
    <s v="Philippines"/>
    <x v="6"/>
    <n v="600600"/>
    <n v="504414"/>
    <n v="80474"/>
    <n v="62"/>
    <n v="89707"/>
    <n v="22685"/>
    <n v="75545"/>
    <x v="0"/>
    <n v="168648.75"/>
  </r>
  <r>
    <n v="53"/>
    <s v="Hungary"/>
    <x v="4"/>
    <n v="600040"/>
    <n v="757679"/>
    <n v="91951"/>
    <n v="68"/>
    <n v="55736"/>
    <n v="12371"/>
    <n v="94833"/>
    <x v="0"/>
    <n v="226341.5"/>
  </r>
  <r>
    <n v="54"/>
    <s v="Thailand"/>
    <x v="6"/>
    <n v="599880"/>
    <n v="655330"/>
    <n v="87073"/>
    <n v="67"/>
    <n v="87909"/>
    <n v="66111"/>
    <n v="94028"/>
    <x v="0"/>
    <n v="207578"/>
  </r>
  <r>
    <n v="55"/>
    <s v="Argentina"/>
    <x v="3"/>
    <n v="597470"/>
    <n v="669279"/>
    <n v="88690"/>
    <n v="69"/>
    <n v="75128"/>
    <n v="12302"/>
    <n v="88669"/>
    <x v="0"/>
    <n v="208274.25"/>
  </r>
  <r>
    <n v="56"/>
    <s v="Honduras"/>
    <x v="3"/>
    <n v="595320"/>
    <n v="389649"/>
    <n v="76679"/>
    <n v="67"/>
    <n v="81952"/>
    <n v="45020"/>
    <n v="83718"/>
    <x v="0"/>
    <n v="137070"/>
  </r>
  <r>
    <n v="57"/>
    <s v="Latvia"/>
    <x v="0"/>
    <n v="595000"/>
    <n v="742769"/>
    <n v="91395"/>
    <n v="67"/>
    <n v="47485"/>
    <n v="13234"/>
    <n v="83046"/>
    <x v="0"/>
    <n v="220412.25"/>
  </r>
  <r>
    <n v="58"/>
    <s v="Ecuador"/>
    <x v="3"/>
    <n v="592520"/>
    <n v="555344"/>
    <n v="78900"/>
    <n v="69"/>
    <n v="80089"/>
    <n v="20183"/>
    <n v="83729"/>
    <x v="0"/>
    <n v="178583.25"/>
  </r>
  <r>
    <n v="59"/>
    <s v="Portugal"/>
    <x v="0"/>
    <n v="591090"/>
    <n v="760603"/>
    <n v="86557"/>
    <n v="72"/>
    <n v="85089"/>
    <n v="9308"/>
    <n v="94798"/>
    <x v="0"/>
    <n v="233062.25"/>
  </r>
  <r>
    <n v="60"/>
    <s v="Jamaica"/>
    <x v="3"/>
    <n v="588980"/>
    <n v="506976"/>
    <n v="91000"/>
    <n v="67"/>
    <n v="79785"/>
    <n v="20405"/>
    <n v="94345"/>
    <x v="0"/>
    <n v="169440.25"/>
  </r>
  <r>
    <n v="61"/>
    <s v="South Korea"/>
    <x v="5"/>
    <n v="587240"/>
    <n v="810386"/>
    <n v="73248"/>
    <n v="74"/>
    <n v="37411"/>
    <n v="29888"/>
    <n v="82258"/>
    <x v="0"/>
    <n v="230261.25"/>
  </r>
  <r>
    <n v="62"/>
    <s v="Japan"/>
    <x v="5"/>
    <n v="587080"/>
    <n v="824327"/>
    <n v="86092"/>
    <n v="75"/>
    <n v="71468"/>
    <n v="6267"/>
    <n v="65969"/>
    <x v="0"/>
    <n v="245471.75"/>
  </r>
  <r>
    <n v="63"/>
    <s v="Peru"/>
    <x v="3"/>
    <n v="579680"/>
    <n v="597751"/>
    <n v="78084"/>
    <n v="68"/>
    <n v="74027"/>
    <n v="16078"/>
    <n v="94930"/>
    <x v="0"/>
    <n v="187465.5"/>
  </r>
  <r>
    <n v="64"/>
    <s v="Serbia"/>
    <x v="4"/>
    <n v="577820"/>
    <n v="643064"/>
    <n v="85776"/>
    <n v="68"/>
    <n v="57038"/>
    <n v="26374"/>
    <n v="88850"/>
    <x v="0"/>
    <n v="196469.5"/>
  </r>
  <r>
    <n v="65"/>
    <s v="Bolivia"/>
    <x v="3"/>
    <n v="574750"/>
    <n v="475687"/>
    <n v="73816"/>
    <n v="64"/>
    <n v="82863"/>
    <n v="24284"/>
    <n v="86319"/>
    <x v="0"/>
    <n v="158091.5"/>
  </r>
  <r>
    <n v="66"/>
    <s v="Pakistan"/>
    <x v="9"/>
    <n v="569330"/>
    <n v="401385"/>
    <n v="56410"/>
    <n v="58"/>
    <n v="58480"/>
    <n v="40137"/>
    <n v="77007"/>
    <x v="0"/>
    <n v="129068.75"/>
  </r>
  <r>
    <n v="67"/>
    <s v="Paraguay"/>
    <x v="3"/>
    <n v="569210"/>
    <n v="584372"/>
    <n v="88410"/>
    <n v="66"/>
    <n v="84600"/>
    <n v="35854"/>
    <n v="87794"/>
    <x v="0"/>
    <n v="189345.5"/>
  </r>
  <r>
    <n v="68"/>
    <s v="Dominican Republic"/>
    <x v="3"/>
    <n v="568920"/>
    <n v="639817"/>
    <n v="85870"/>
    <n v="66"/>
    <n v="81191"/>
    <n v="19690"/>
    <n v="78253"/>
    <x v="0"/>
    <n v="201719.5"/>
  </r>
  <r>
    <n v="69"/>
    <s v="Bosnia and Herzegovina"/>
    <x v="4"/>
    <n v="567410"/>
    <n v="597651"/>
    <n v="77799"/>
    <n v="68"/>
    <n v="44047"/>
    <n v="46332"/>
    <n v="99780"/>
    <x v="0"/>
    <n v="179874.25"/>
  </r>
  <r>
    <n v="70"/>
    <s v="Moldova"/>
    <x v="4"/>
    <n v="560750"/>
    <n v="460681"/>
    <n v="79952"/>
    <n v="65"/>
    <n v="56193"/>
    <n v="30545"/>
    <n v="97303"/>
    <x v="0"/>
    <n v="149206.5"/>
  </r>
  <r>
    <n v="71"/>
    <s v="Tajikistan"/>
    <x v="7"/>
    <n v="555570"/>
    <n v="309027"/>
    <n v="78729"/>
    <n v="64"/>
    <n v="75171"/>
    <n v="32013"/>
    <n v="58403"/>
    <x v="0"/>
    <n v="115731.75"/>
  </r>
  <r>
    <n v="72"/>
    <s v="Montenegro"/>
    <x v="4"/>
    <n v="554610"/>
    <n v="657360"/>
    <n v="81784"/>
    <n v="69"/>
    <n v="43738"/>
    <n v="26151"/>
    <n v="81537"/>
    <x v="0"/>
    <n v="195720.5"/>
  </r>
  <r>
    <n v="73"/>
    <s v="Russia"/>
    <x v="7"/>
    <n v="554600"/>
    <n v="733401"/>
    <n v="89085"/>
    <n v="64"/>
    <n v="57625"/>
    <n v="17381"/>
    <n v="91429"/>
    <x v="0"/>
    <n v="220027.75"/>
  </r>
  <r>
    <n v="74"/>
    <s v="Kyrgyzstan"/>
    <x v="7"/>
    <n v="554150"/>
    <n v="333955"/>
    <n v="86654"/>
    <n v="64"/>
    <n v="88655"/>
    <n v="52889"/>
    <n v="94286"/>
    <x v="0"/>
    <n v="127316"/>
  </r>
  <r>
    <n v="75"/>
    <s v="Belarus"/>
    <x v="7"/>
    <n v="553990"/>
    <n v="663025"/>
    <n v="89634"/>
    <n v="66"/>
    <n v="41940"/>
    <n v="15783"/>
    <n v="63687"/>
    <x v="0"/>
    <n v="198649.75"/>
  </r>
  <r>
    <n v="77"/>
    <s v="Greece"/>
    <x v="2"/>
    <n v="551500"/>
    <n v="734098"/>
    <n v="75536"/>
    <n v="72"/>
    <n v="25029"/>
    <n v="0"/>
    <n v="90839"/>
    <x v="0"/>
    <n v="208665.75"/>
  </r>
  <r>
    <n v="78"/>
    <s v="Hong Kong S.A.R. of China"/>
    <x v="5"/>
    <n v="551040"/>
    <n v="895925"/>
    <n v="80357"/>
    <n v="77"/>
    <n v="66259"/>
    <n v="50592"/>
    <n v="37639"/>
    <x v="0"/>
    <n v="260635.25"/>
  </r>
  <r>
    <n v="79"/>
    <s v="Croatia"/>
    <x v="4"/>
    <n v="550470"/>
    <n v="721703"/>
    <n v="84731"/>
    <n v="70"/>
    <n v="55023"/>
    <n v="20006"/>
    <n v="97688"/>
    <x v="0"/>
    <n v="215364.25"/>
  </r>
  <r>
    <n v="80"/>
    <s v="Libya"/>
    <x v="2"/>
    <n v="548880"/>
    <n v="665016"/>
    <n v="77301"/>
    <n v="62"/>
    <n v="65105"/>
    <n v="25053"/>
    <n v="67691"/>
    <x v="0"/>
    <n v="201855.5"/>
  </r>
  <r>
    <n v="81"/>
    <s v="Mongolia"/>
    <x v="5"/>
    <n v="545620"/>
    <n v="588851"/>
    <n v="94273"/>
    <n v="62"/>
    <n v="51308"/>
    <n v="46311"/>
    <n v="91272"/>
    <x v="0"/>
    <n v="183608"/>
  </r>
  <r>
    <n v="82"/>
    <s v="Malaysia"/>
    <x v="6"/>
    <n v="538430"/>
    <n v="760356"/>
    <n v="75861"/>
    <n v="67"/>
    <n v="86105"/>
    <n v="48241"/>
    <n v="88341"/>
    <x v="0"/>
    <n v="230580.5"/>
  </r>
  <r>
    <n v="83"/>
    <s v="Vietnam"/>
    <x v="6"/>
    <n v="535350"/>
    <n v="467302"/>
    <n v="80971"/>
    <n v="68"/>
    <n v="93879"/>
    <n v="23953"/>
    <n v="83148"/>
    <x v="0"/>
    <n v="160538"/>
  </r>
  <r>
    <n v="84"/>
    <s v="Indonesia"/>
    <x v="6"/>
    <n v="528560"/>
    <n v="580292"/>
    <n v="74620"/>
    <n v="62"/>
    <n v="81954"/>
    <n v="95232"/>
    <n v="92820"/>
    <x v="0"/>
    <n v="184216.5"/>
  </r>
  <r>
    <n v="85"/>
    <s v="Ivory Coast"/>
    <x v="8"/>
    <n v="523330"/>
    <n v="349517"/>
    <n v="51676"/>
    <n v="50"/>
    <n v="57282"/>
    <n v="29819"/>
    <n v="82464"/>
    <x v="0"/>
    <n v="114618.75"/>
  </r>
  <r>
    <n v="86"/>
    <s v="Benin"/>
    <x v="8"/>
    <n v="521600"/>
    <n v="238336"/>
    <n v="22773"/>
    <n v="54"/>
    <n v="58540"/>
    <n v="34515"/>
    <n v="76380"/>
    <x v="0"/>
    <n v="79912.25"/>
  </r>
  <r>
    <n v="87"/>
    <s v="Maldives"/>
    <x v="6"/>
    <n v="519760"/>
    <n v="610320"/>
    <n v="90612"/>
    <n v="71"/>
    <n v="79075"/>
    <n v="39346"/>
    <n v="86513"/>
    <x v="0"/>
    <n v="195001.75"/>
  </r>
  <r>
    <n v="88"/>
    <s v="Congo (Brazzaville)"/>
    <x v="8"/>
    <n v="519440"/>
    <n v="412329"/>
    <n v="48957"/>
    <n v="58"/>
    <n v="55752"/>
    <n v="20571"/>
    <n v="77742"/>
    <x v="0"/>
    <n v="129259.5"/>
  </r>
  <r>
    <n v="89"/>
    <s v="Azerbaijan"/>
    <x v="7"/>
    <n v="516480"/>
    <n v="644425"/>
    <n v="76288"/>
    <n v="66"/>
    <n v="67468"/>
    <n v="7040"/>
    <n v="53615"/>
    <x v="0"/>
    <n v="197045.25"/>
  </r>
  <r>
    <n v="90"/>
    <s v="Macedonia"/>
    <x v="4"/>
    <n v="515980"/>
    <n v="608698"/>
    <n v="76454"/>
    <n v="68"/>
    <n v="59172"/>
    <n v="32618"/>
    <n v="95387"/>
    <x v="0"/>
    <n v="186081"/>
  </r>
  <r>
    <n v="91"/>
    <s v="Ghana"/>
    <x v="8"/>
    <n v="514800"/>
    <n v="374746"/>
    <n v="62444"/>
    <n v="57"/>
    <n v="68846"/>
    <n v="45856"/>
    <n v="89390"/>
    <x v="0"/>
    <n v="126509"/>
  </r>
  <r>
    <n v="92"/>
    <s v="Nepal"/>
    <x v="9"/>
    <n v="513720"/>
    <n v="288968"/>
    <n v="71130"/>
    <n v="64"/>
    <n v="69325"/>
    <n v="52819"/>
    <n v="76086"/>
    <x v="0"/>
    <n v="107355.75"/>
  </r>
  <r>
    <n v="93"/>
    <s v="Turkey"/>
    <x v="2"/>
    <n v="513180"/>
    <n v="733511"/>
    <n v="77357"/>
    <n v="67"/>
    <n v="36696"/>
    <n v="15073"/>
    <n v="77308"/>
    <x v="0"/>
    <n v="211891"/>
  </r>
  <r>
    <n v="94"/>
    <s v="China"/>
    <x v="5"/>
    <n v="512390"/>
    <n v="644595"/>
    <n v="73152"/>
    <n v="69"/>
    <n v="86778"/>
    <n v="13868"/>
    <n v="78008"/>
    <x v="0"/>
    <n v="201131.25"/>
  </r>
  <r>
    <n v="95"/>
    <s v="Turkmenistan"/>
    <x v="7"/>
    <n v="511910"/>
    <n v="656588"/>
    <n v="97603"/>
    <n v="62"/>
    <n v="74320"/>
    <n v="56708"/>
    <n v="93716"/>
    <x v="0"/>
    <n v="207127.75"/>
  </r>
  <r>
    <n v="96"/>
    <s v="Bulgaria"/>
    <x v="4"/>
    <n v="510150"/>
    <n v="681051"/>
    <n v="94379"/>
    <n v="67"/>
    <n v="60268"/>
    <n v="18222"/>
    <n v="100000"/>
    <x v="0"/>
    <n v="208924.5"/>
  </r>
  <r>
    <n v="97"/>
    <s v="Morocco"/>
    <x v="2"/>
    <n v="509480"/>
    <n v="493677"/>
    <n v="41692"/>
    <n v="66"/>
    <n v="64918"/>
    <n v="7026"/>
    <n v="85486"/>
    <x v="0"/>
    <n v="150071.75"/>
  </r>
  <r>
    <n v="98"/>
    <s v="Cameroon"/>
    <x v="8"/>
    <n v="508490"/>
    <n v="327953"/>
    <n v="58138"/>
    <n v="53"/>
    <n v="63358"/>
    <n v="34752"/>
    <n v="89798"/>
    <x v="0"/>
    <n v="112362.25"/>
  </r>
  <r>
    <n v="99"/>
    <s v="Venezuela"/>
    <x v="3"/>
    <n v="505320"/>
    <n v="501237"/>
    <n v="87140"/>
    <n v="67"/>
    <n v="39194"/>
    <n v="15300"/>
    <n v="88067"/>
    <x v="0"/>
    <n v="156892.75"/>
  </r>
  <r>
    <n v="100"/>
    <s v="Algeria"/>
    <x v="2"/>
    <n v="500510"/>
    <n v="614219"/>
    <n v="73858"/>
    <n v="66"/>
    <n v="12108"/>
    <n v="20869"/>
    <n v="75769"/>
    <x v="0"/>
    <n v="175046.25"/>
  </r>
  <r>
    <n v="101"/>
    <s v="Senegal"/>
    <x v="8"/>
    <n v="498080"/>
    <n v="328021"/>
    <n v="61683"/>
    <n v="60"/>
    <n v="50832"/>
    <n v="28851"/>
    <n v="84645"/>
    <x v="0"/>
    <n v="110134"/>
  </r>
  <r>
    <n v="102"/>
    <s v="Guinea"/>
    <x v="8"/>
    <n v="494930"/>
    <n v="253800"/>
    <n v="48551"/>
    <n v="54"/>
    <n v="53641"/>
    <n v="43785"/>
    <n v="78955"/>
    <x v="0"/>
    <n v="88998"/>
  </r>
  <r>
    <n v="103"/>
    <s v="Niger"/>
    <x v="8"/>
    <n v="490960"/>
    <n v="70497"/>
    <n v="45478"/>
    <n v="54"/>
    <n v="62791"/>
    <n v="36534"/>
    <n v="74200"/>
    <x v="0"/>
    <n v="44691.5"/>
  </r>
  <r>
    <n v="104"/>
    <s v="Laos"/>
    <x v="5"/>
    <n v="488860"/>
    <n v="465091"/>
    <n v="63803"/>
    <n v="59"/>
    <n v="88281"/>
    <n v="47852"/>
    <n v="63562"/>
    <x v="0"/>
    <n v="154293.75"/>
  </r>
  <r>
    <n v="105"/>
    <s v="Albania"/>
    <x v="4"/>
    <n v="488270"/>
    <n v="590009"/>
    <n v="53664"/>
    <n v="69"/>
    <n v="66633"/>
    <n v="30015"/>
    <n v="95243"/>
    <x v="0"/>
    <n v="177576.5"/>
  </r>
  <r>
    <n v="106"/>
    <s v="Cambodia"/>
    <x v="6"/>
    <n v="484840"/>
    <n v="354424"/>
    <n v="69233"/>
    <n v="62"/>
    <n v="97356"/>
    <n v="40951"/>
    <n v="86339"/>
    <x v="0"/>
    <n v="130253.25"/>
  </r>
  <r>
    <n v="107"/>
    <s v="Bangladesh"/>
    <x v="9"/>
    <n v="483280"/>
    <n v="361922"/>
    <n v="56140"/>
    <n v="65"/>
    <n v="87142"/>
    <n v="31018"/>
    <n v="66851"/>
    <x v="0"/>
    <n v="126301"/>
  </r>
  <r>
    <n v="108"/>
    <s v="Gabon"/>
    <x v="8"/>
    <n v="482930"/>
    <n v="642975"/>
    <n v="71493"/>
    <n v="60"/>
    <n v="53292"/>
    <n v="9128"/>
    <n v="89533"/>
    <x v="0"/>
    <n v="191940"/>
  </r>
  <r>
    <n v="109"/>
    <s v="South Africa"/>
    <x v="8"/>
    <n v="481410"/>
    <n v="587073"/>
    <n v="81359"/>
    <n v="57"/>
    <n v="62715"/>
    <n v="22184"/>
    <n v="88840"/>
    <x v="0"/>
    <n v="182786.75"/>
  </r>
  <r>
    <n v="110"/>
    <s v="Iraq"/>
    <x v="2"/>
    <n v="478480"/>
    <n v="639054"/>
    <n v="65358"/>
    <n v="60"/>
    <n v="40906"/>
    <n v="26851"/>
    <n v="86277"/>
    <x v="0"/>
    <n v="186329.5"/>
  </r>
  <r>
    <n v="111"/>
    <s v="Lebanon"/>
    <x v="2"/>
    <n v="477150"/>
    <n v="578673"/>
    <n v="77056"/>
    <n v="67"/>
    <n v="26760"/>
    <n v="27820"/>
    <n v="95964"/>
    <x v="0"/>
    <n v="170622.25"/>
  </r>
  <r>
    <n v="112"/>
    <s v="Burkina Faso"/>
    <x v="8"/>
    <n v="476870"/>
    <n v="196832"/>
    <n v="60055"/>
    <n v="54"/>
    <n v="46504"/>
    <n v="32711"/>
    <n v="76291"/>
    <x v="0"/>
    <n v="75847.75"/>
  </r>
  <r>
    <n v="113"/>
    <s v="Gambia"/>
    <x v="8"/>
    <n v="475060"/>
    <n v="167238"/>
    <n v="57037"/>
    <n v="55"/>
    <n v="58191"/>
    <n v="74759"/>
    <n v="70348"/>
    <x v="0"/>
    <n v="70616.5"/>
  </r>
  <r>
    <n v="114"/>
    <s v="Mali"/>
    <x v="8"/>
    <n v="472930"/>
    <n v="229367"/>
    <n v="62882"/>
    <n v="52"/>
    <n v="54457"/>
    <n v="29776"/>
    <n v="88344"/>
    <x v="0"/>
    <n v="86676.5"/>
  </r>
  <r>
    <n v="115"/>
    <s v="Nigeria"/>
    <x v="8"/>
    <n v="472410"/>
    <n v="420324"/>
    <n v="63759"/>
    <n v="50"/>
    <n v="62758"/>
    <n v="38842"/>
    <n v="91074"/>
    <x v="0"/>
    <n v="136710.25"/>
  </r>
  <r>
    <n v="116"/>
    <s v="Armenia"/>
    <x v="7"/>
    <n v="467680"/>
    <n v="525981"/>
    <n v="66852"/>
    <n v="67"/>
    <n v="54535"/>
    <n v="18818"/>
    <n v="80378"/>
    <x v="0"/>
    <n v="161842"/>
  </r>
  <r>
    <n v="117"/>
    <s v="Georgia"/>
    <x v="7"/>
    <n v="467260"/>
    <n v="551319"/>
    <n v="47248"/>
    <n v="64"/>
    <n v="70030"/>
    <n v="8355"/>
    <n v="67348"/>
    <x v="0"/>
    <n v="167149.25"/>
  </r>
  <r>
    <n v="118"/>
    <s v="Iran"/>
    <x v="2"/>
    <n v="467240"/>
    <n v="669837"/>
    <n v="57269"/>
    <n v="66"/>
    <n v="43446"/>
    <n v="48609"/>
    <n v="73244"/>
    <x v="0"/>
    <n v="192638"/>
  </r>
  <r>
    <n v="119"/>
    <s v="Jordan"/>
    <x v="2"/>
    <n v="463340"/>
    <n v="510959"/>
    <n v="73672"/>
    <n v="67"/>
    <n v="61283"/>
    <n v="16057"/>
    <n v="71514"/>
    <x v="0"/>
    <n v="161478.5"/>
  </r>
  <r>
    <n v="120"/>
    <s v="Mozambique"/>
    <x v="8"/>
    <n v="462360"/>
    <n v="116317"/>
    <n v="61723"/>
    <n v="54"/>
    <n v="80888"/>
    <n v="38683"/>
    <n v="69416"/>
    <x v="0"/>
    <n v="64732"/>
  </r>
  <r>
    <n v="121"/>
    <s v="Kenya"/>
    <x v="8"/>
    <n v="458300"/>
    <n v="310029"/>
    <n v="58484"/>
    <n v="60"/>
    <n v="74889"/>
    <n v="69128"/>
    <n v="87396"/>
    <x v="0"/>
    <n v="110850.5"/>
  </r>
  <r>
    <n v="122"/>
    <s v="Namibia"/>
    <x v="8"/>
    <n v="457110"/>
    <n v="546688"/>
    <n v="80497"/>
    <n v="57"/>
    <n v="64131"/>
    <n v="13417"/>
    <n v="89812"/>
    <x v="0"/>
    <n v="172829"/>
  </r>
  <r>
    <n v="123"/>
    <s v="Ukraine"/>
    <x v="7"/>
    <n v="456070"/>
    <n v="507872"/>
    <n v="85380"/>
    <n v="65"/>
    <n v="46075"/>
    <n v="31335"/>
    <n v="98190"/>
    <x v="0"/>
    <n v="159831.75"/>
  </r>
  <r>
    <n v="124"/>
    <s v="Liberia"/>
    <x v="8"/>
    <n v="455790"/>
    <n v="113298"/>
    <n v="59496"/>
    <n v="56"/>
    <n v="58555"/>
    <n v="39832"/>
    <n v="90408"/>
    <x v="0"/>
    <n v="57837.25"/>
  </r>
  <r>
    <n v="125"/>
    <s v="Palestinian Territories"/>
    <x v="2"/>
    <n v="455280"/>
    <n v="382526"/>
    <n v="77202"/>
    <n v="62"/>
    <n v="43086"/>
    <n v="16113"/>
    <n v="86512"/>
    <x v="0"/>
    <n v="125703.5"/>
  </r>
  <r>
    <n v="126"/>
    <s v="Uganda"/>
    <x v="8"/>
    <n v="443200"/>
    <n v="203255"/>
    <n v="67999"/>
    <n v="56"/>
    <n v="57940"/>
    <n v="46473"/>
    <n v="88030"/>
    <x v="0"/>
    <n v="82298.5"/>
  </r>
  <r>
    <n v="127"/>
    <s v="Chad"/>
    <x v="8"/>
    <n v="442270"/>
    <n v="196715"/>
    <n v="47760"/>
    <n v="48"/>
    <n v="32974"/>
    <n v="36995"/>
    <n v="83916"/>
    <x v="0"/>
    <n v="69362.25"/>
  </r>
  <r>
    <n v="128"/>
    <s v="Tunisia"/>
    <x v="2"/>
    <n v="439220"/>
    <n v="569243"/>
    <n v="56357"/>
    <n v="67"/>
    <n v="34021"/>
    <n v="9807"/>
    <n v="91766"/>
    <x v="0"/>
    <n v="164905.25"/>
  </r>
  <r>
    <n v="129"/>
    <s v="Mauritania"/>
    <x v="2"/>
    <n v="437460"/>
    <n v="351203"/>
    <n v="71940"/>
    <n v="57"/>
    <n v="26788"/>
    <n v="22621"/>
    <n v="77069"/>
    <x v="0"/>
    <n v="112482.75"/>
  </r>
  <r>
    <n v="130"/>
    <s v="Sri Lanka"/>
    <x v="9"/>
    <n v="432700"/>
    <n v="584370"/>
    <n v="77214"/>
    <n v="67"/>
    <n v="76252"/>
    <n v="44342"/>
    <n v="90726"/>
    <x v="0"/>
    <n v="184459"/>
  </r>
  <r>
    <n v="131"/>
    <s v="Congo (Kinshasa)"/>
    <x v="8"/>
    <n v="431100"/>
    <n v="40664"/>
    <n v="53830"/>
    <n v="53"/>
    <n v="52595"/>
    <n v="44633"/>
    <n v="84720"/>
    <x v="0"/>
    <n v="36772.25"/>
  </r>
  <r>
    <n v="132"/>
    <s v="Eswatini"/>
    <x v="8"/>
    <n v="430810"/>
    <n v="538526"/>
    <n v="68807"/>
    <n v="51"/>
    <n v="43264"/>
    <n v="11805"/>
    <n v="72473"/>
    <x v="0"/>
    <n v="162649.25"/>
  </r>
  <r>
    <n v="133"/>
    <s v="Myanmar"/>
    <x v="6"/>
    <n v="430800"/>
    <n v="441271"/>
    <n v="70962"/>
    <n v="59"/>
    <n v="86183"/>
    <n v="100000"/>
    <n v="64827"/>
    <x v="0"/>
    <n v="149604"/>
  </r>
  <r>
    <n v="134"/>
    <s v="Comoros"/>
    <x v="8"/>
    <n v="428860"/>
    <n v="270467"/>
    <n v="46734"/>
    <n v="57"/>
    <n v="26112"/>
    <n v="45372"/>
    <n v="81235"/>
    <x v="0"/>
    <n v="85828.25"/>
  </r>
  <r>
    <n v="135"/>
    <s v="Togo"/>
    <x v="8"/>
    <n v="418720"/>
    <n v="174478"/>
    <n v="35386"/>
    <n v="55"/>
    <n v="43784"/>
    <n v="35235"/>
    <n v="78463"/>
    <x v="0"/>
    <n v="63412"/>
  </r>
  <r>
    <n v="136"/>
    <s v="Ethiopia"/>
    <x v="8"/>
    <n v="418620"/>
    <n v="205070"/>
    <n v="64689"/>
    <n v="59"/>
    <n v="59510"/>
    <n v="39960"/>
    <n v="77973"/>
    <x v="0"/>
    <n v="82317.25"/>
  </r>
  <r>
    <n v="137"/>
    <s v="Madagascar"/>
    <x v="8"/>
    <n v="416560"/>
    <n v="159144"/>
    <n v="53225"/>
    <n v="59"/>
    <n v="27834"/>
    <n v="33553"/>
    <n v="85699"/>
    <x v="0"/>
    <n v="60050.75"/>
  </r>
  <r>
    <n v="138"/>
    <s v="Egypt"/>
    <x v="2"/>
    <n v="415140"/>
    <n v="569560"/>
    <n v="63489"/>
    <n v="62"/>
    <n v="53902"/>
    <n v="12074"/>
    <n v="82095"/>
    <x v="0"/>
    <n v="171737.75"/>
  </r>
  <r>
    <n v="139"/>
    <s v="Sierra Leone"/>
    <x v="8"/>
    <n v="392640"/>
    <n v="156546"/>
    <n v="48333"/>
    <n v="51"/>
    <n v="55105"/>
    <n v="45216"/>
    <n v="91008"/>
    <x v="0"/>
    <n v="64996"/>
  </r>
  <r>
    <n v="140"/>
    <s v="Burundi"/>
    <x v="8"/>
    <n v="377530"/>
    <n v="0"/>
    <n v="26078"/>
    <n v="53"/>
    <n v="39725"/>
    <n v="32888"/>
    <n v="60202"/>
    <x v="0"/>
    <n v="16450.75"/>
  </r>
  <r>
    <n v="141"/>
    <s v="Zambia"/>
    <x v="8"/>
    <n v="375940"/>
    <n v="349347"/>
    <n v="57900"/>
    <n v="55"/>
    <n v="70870"/>
    <n v="43983"/>
    <n v="83738"/>
    <x v="0"/>
    <n v="119529.25"/>
  </r>
  <r>
    <n v="142"/>
    <s v="Haiti"/>
    <x v="3"/>
    <n v="372080"/>
    <n v="185292"/>
    <n v="41786"/>
    <n v="56"/>
    <n v="24420"/>
    <n v="81414"/>
    <n v="69627"/>
    <x v="0"/>
    <n v="62874.5"/>
  </r>
  <r>
    <n v="143"/>
    <s v="Lesotho"/>
    <x v="8"/>
    <n v="365280"/>
    <n v="296054"/>
    <n v="70365"/>
    <n v="48"/>
    <n v="59049"/>
    <n v="18011"/>
    <n v="90531"/>
    <x v="0"/>
    <n v="106367"/>
  </r>
  <r>
    <n v="144"/>
    <s v="India"/>
    <x v="9"/>
    <n v="357330"/>
    <n v="475426"/>
    <n v="41627"/>
    <n v="60"/>
    <n v="83826"/>
    <n v="41605"/>
    <n v="80196"/>
    <x v="0"/>
    <n v="150219.75"/>
  </r>
  <r>
    <n v="145"/>
    <s v="Malawi"/>
    <x v="8"/>
    <n v="353800"/>
    <n v="114881"/>
    <n v="34271"/>
    <n v="58"/>
    <n v="70303"/>
    <n v="37413"/>
    <n v="75311"/>
    <x v="0"/>
    <n v="54863.75"/>
  </r>
  <r>
    <n v="146"/>
    <s v="Yemen"/>
    <x v="2"/>
    <n v="352740"/>
    <n v="255553"/>
    <n v="76086"/>
    <n v="57"/>
    <n v="35155"/>
    <n v="16618"/>
    <n v="83616"/>
    <x v="0"/>
    <n v="91698.5"/>
  </r>
  <r>
    <n v="147"/>
    <s v="Botswana"/>
    <x v="8"/>
    <n v="347890"/>
    <n v="649160"/>
    <n v="70155"/>
    <n v="59"/>
    <n v="73433"/>
    <n v="5863"/>
    <n v="80909"/>
    <x v="0"/>
    <n v="198187"/>
  </r>
  <r>
    <n v="148"/>
    <s v="Tanzania"/>
    <x v="8"/>
    <n v="347620"/>
    <n v="297501"/>
    <n v="56390"/>
    <n v="57"/>
    <n v="73470"/>
    <n v="47654"/>
    <n v="61760"/>
    <x v="0"/>
    <n v="106840.25"/>
  </r>
  <r>
    <n v="149"/>
    <s v="Central African Republic"/>
    <x v="8"/>
    <n v="347590"/>
    <n v="26728"/>
    <n v="0"/>
    <n v="45"/>
    <n v="42237"/>
    <n v="44491"/>
    <n v="94699"/>
    <x v="0"/>
    <n v="17241.25"/>
  </r>
  <r>
    <n v="150"/>
    <s v="Rwanda"/>
    <x v="8"/>
    <n v="331230"/>
    <n v="223367"/>
    <n v="33787"/>
    <n v="61"/>
    <n v="87136"/>
    <n v="41365"/>
    <n v="8932"/>
    <x v="0"/>
    <n v="86072.5"/>
  </r>
  <r>
    <n v="151"/>
    <s v="Zimbabwe"/>
    <x v="8"/>
    <n v="329920"/>
    <n v="276938"/>
    <n v="67709"/>
    <n v="56"/>
    <n v="54438"/>
    <n v="26561"/>
    <n v="84821"/>
    <x v="0"/>
    <n v="99771.25"/>
  </r>
  <r>
    <n v="152"/>
    <s v="South Sudan"/>
    <x v="8"/>
    <n v="281660"/>
    <n v="188122"/>
    <n v="35751"/>
    <n v="51"/>
    <n v="9464"/>
    <n v="36843"/>
    <n v="79151"/>
    <x v="0"/>
    <n v="58334.25"/>
  </r>
  <r>
    <n v="153"/>
    <s v="Afghanistan"/>
    <x v="9"/>
    <n v="256690"/>
    <n v="195686"/>
    <n v="23032"/>
    <n v="53"/>
    <n v="0"/>
    <n v="23733"/>
    <n v="99770"/>
    <x v="0"/>
    <n v="54679.5"/>
  </r>
  <r>
    <n v="1"/>
    <s v="Finland"/>
    <x v="0"/>
    <n v="784210"/>
    <n v="826118"/>
    <n v="94362"/>
    <n v="72"/>
    <n v="96454"/>
    <n v="22947"/>
    <n v="12117"/>
    <x v="1"/>
    <n v="254233.5"/>
  </r>
  <r>
    <n v="2"/>
    <s v="Denmark"/>
    <x v="0"/>
    <n v="761950"/>
    <n v="857642"/>
    <n v="94517"/>
    <n v="73"/>
    <n v="95837"/>
    <n v="38358"/>
    <n v="11299"/>
    <x v="1"/>
    <n v="261999"/>
  </r>
  <r>
    <n v="3"/>
    <s v="Switzerland"/>
    <x v="0"/>
    <n v="757150"/>
    <n v="894398"/>
    <n v="92083"/>
    <n v="74"/>
    <n v="91274"/>
    <n v="37698"/>
    <n v="24463"/>
    <x v="1"/>
    <n v="269438.75"/>
  </r>
  <r>
    <n v="4"/>
    <s v="Iceland"/>
    <x v="0"/>
    <n v="755390"/>
    <n v="846586"/>
    <n v="100000"/>
    <n v="73"/>
    <n v="97449"/>
    <n v="54046"/>
    <n v="68920"/>
    <x v="1"/>
    <n v="261008.75"/>
  </r>
  <r>
    <n v="5"/>
    <s v="Netherlands"/>
    <x v="0"/>
    <n v="746400"/>
    <n v="857370"/>
    <n v="92056"/>
    <n v="72"/>
    <n v="90310"/>
    <n v="55870"/>
    <n v="29856"/>
    <x v="1"/>
    <n v="259934"/>
  </r>
  <r>
    <n v="6"/>
    <s v="Norway"/>
    <x v="0"/>
    <n v="739250"/>
    <n v="881579"/>
    <n v="94524"/>
    <n v="73"/>
    <n v="98208"/>
    <n v="45990"/>
    <n v="21935"/>
    <x v="1"/>
    <n v="268577.75"/>
  </r>
  <r>
    <n v="7"/>
    <s v="Sweden"/>
    <x v="0"/>
    <n v="736270"/>
    <n v="844436"/>
    <n v="90558"/>
    <n v="73"/>
    <n v="95662"/>
    <n v="45121"/>
    <n v="18137"/>
    <x v="1"/>
    <n v="257664"/>
  </r>
  <r>
    <n v="8"/>
    <s v="Luxembourg"/>
    <x v="0"/>
    <n v="732440"/>
    <n v="1000000"/>
    <n v="85558"/>
    <n v="73"/>
    <n v="89301"/>
    <n v="30684"/>
    <n v="35510"/>
    <x v="1"/>
    <n v="293714.75"/>
  </r>
  <r>
    <n v="9"/>
    <s v="New Zealand"/>
    <x v="1"/>
    <n v="727660"/>
    <n v="799680"/>
    <n v="93314"/>
    <n v="73"/>
    <n v="92938"/>
    <n v="50911"/>
    <n v="18624"/>
    <x v="1"/>
    <n v="246483"/>
  </r>
  <r>
    <n v="10"/>
    <s v="Austria"/>
    <x v="0"/>
    <n v="726780"/>
    <n v="852282"/>
    <n v="90629"/>
    <n v="73"/>
    <n v="89388"/>
    <n v="39740"/>
    <n v="46586"/>
    <x v="1"/>
    <n v="258074.75"/>
  </r>
  <r>
    <n v="11"/>
    <s v="Australia"/>
    <x v="1"/>
    <n v="718350"/>
    <n v="830190"/>
    <n v="91777"/>
    <n v="74"/>
    <n v="90401"/>
    <n v="53836"/>
    <n v="42027"/>
    <x v="1"/>
    <n v="253092"/>
  </r>
  <r>
    <n v="12"/>
    <s v="Israel"/>
    <x v="2"/>
    <n v="715710"/>
    <n v="786120"/>
    <n v="91600"/>
    <n v="74"/>
    <n v="71090"/>
    <n v="38427"/>
    <n v="78279"/>
    <x v="1"/>
    <n v="237202.5"/>
  </r>
  <r>
    <n v="13"/>
    <s v="Germany"/>
    <x v="0"/>
    <n v="715450"/>
    <n v="845544"/>
    <n v="84669"/>
    <n v="73"/>
    <n v="83861"/>
    <n v="36012"/>
    <n v="44109"/>
    <x v="1"/>
    <n v="253518.5"/>
  </r>
  <r>
    <n v="14"/>
    <s v="Canada"/>
    <x v="1"/>
    <n v="710330"/>
    <n v="826303"/>
    <n v="89088"/>
    <n v="74"/>
    <n v="90575"/>
    <n v="45492"/>
    <n v="38807"/>
    <x v="1"/>
    <n v="251491.5"/>
  </r>
  <r>
    <n v="15"/>
    <s v="Ireland"/>
    <x v="0"/>
    <n v="708530"/>
    <n v="939281"/>
    <n v="93137"/>
    <n v="72"/>
    <n v="84572"/>
    <n v="44033"/>
    <n v="32797"/>
    <x v="1"/>
    <n v="279247.5"/>
  </r>
  <r>
    <n v="16"/>
    <s v="Costa Rica"/>
    <x v="3"/>
    <n v="706940"/>
    <n v="647464"/>
    <n v="82391"/>
    <n v="71"/>
    <n v="93933"/>
    <n v="19487"/>
    <n v="84769"/>
    <x v="1"/>
    <n v="205947"/>
  </r>
  <r>
    <n v="17"/>
    <s v="United Kingdom"/>
    <x v="0"/>
    <n v="706360"/>
    <n v="812537"/>
    <n v="90592"/>
    <n v="73"/>
    <n v="81058"/>
    <n v="62862"/>
    <n v="44029"/>
    <x v="1"/>
    <n v="246046.75"/>
  </r>
  <r>
    <n v="18"/>
    <s v="Czechia"/>
    <x v="4"/>
    <n v="696470"/>
    <n v="782406"/>
    <n v="92998"/>
    <n v="71"/>
    <n v="81013"/>
    <n v="9619"/>
    <n v="91653"/>
    <x v="1"/>
    <n v="239104.25"/>
  </r>
  <r>
    <n v="19"/>
    <s v="United States"/>
    <x v="1"/>
    <n v="695150"/>
    <n v="875594"/>
    <n v="87876"/>
    <n v="68"/>
    <n v="77367"/>
    <n v="46594"/>
    <n v="71859"/>
    <x v="1"/>
    <n v="260209.25"/>
  </r>
  <r>
    <n v="20"/>
    <s v="Belgium"/>
    <x v="0"/>
    <n v="683400"/>
    <n v="835672"/>
    <n v="85124"/>
    <n v="72"/>
    <n v="68250"/>
    <n v="16245"/>
    <n v="65738"/>
    <x v="1"/>
    <n v="247261.5"/>
  </r>
  <r>
    <n v="21"/>
    <s v="France"/>
    <x v="0"/>
    <n v="668990"/>
    <n v="811889"/>
    <n v="92199"/>
    <n v="74"/>
    <n v="74800"/>
    <n v="17070"/>
    <n v="57009"/>
    <x v="1"/>
    <n v="244722"/>
  </r>
  <r>
    <n v="22"/>
    <s v="Bahrain"/>
    <x v="2"/>
    <n v="664690"/>
    <n v="804848"/>
    <n v="76689"/>
    <n v="69"/>
    <n v="92328"/>
    <n v="45470"/>
    <n v="74649"/>
    <x v="1"/>
    <n v="243466.25"/>
  </r>
  <r>
    <n v="23"/>
    <s v="Malta"/>
    <x v="0"/>
    <n v="660200"/>
    <n v="805856"/>
    <n v="90005"/>
    <n v="72"/>
    <n v="92705"/>
    <n v="50717"/>
    <n v="66601"/>
    <x v="1"/>
    <n v="247141.5"/>
  </r>
  <r>
    <n v="24"/>
    <s v="Taiwan Province of China"/>
    <x v="5"/>
    <n v="658440"/>
    <n v="845234"/>
    <n v="83730"/>
    <n v="70"/>
    <n v="68427"/>
    <n v="26233"/>
    <n v="74572"/>
    <x v="1"/>
    <n v="249347.75"/>
  </r>
  <r>
    <n v="25"/>
    <s v="United Arab Emirates"/>
    <x v="2"/>
    <n v="656050"/>
    <n v="887917"/>
    <n v="73373"/>
    <n v="67"/>
    <n v="93587"/>
    <n v="43648"/>
    <n v="59155"/>
    <x v="1"/>
    <n v="263719.25"/>
  </r>
  <r>
    <n v="26"/>
    <s v="Saudi Arabia"/>
    <x v="2"/>
    <n v="649400"/>
    <n v="819593"/>
    <n v="82245"/>
    <n v="67"/>
    <n v="84216"/>
    <n v="16719"/>
    <n v="70219"/>
    <x v="1"/>
    <n v="246513.5"/>
  </r>
  <r>
    <n v="27"/>
    <s v="Spain"/>
    <x v="0"/>
    <n v="649070"/>
    <n v="785340"/>
    <n v="90130"/>
    <n v="75"/>
    <n v="64519"/>
    <n v="24950"/>
    <n v="77365"/>
    <x v="1"/>
    <n v="234997.25"/>
  </r>
  <r>
    <n v="28"/>
    <s v="Italy"/>
    <x v="0"/>
    <n v="648310"/>
    <n v="795726"/>
    <n v="80209"/>
    <n v="74"/>
    <n v="52885"/>
    <n v="24578"/>
    <n v="91415"/>
    <x v="1"/>
    <n v="232205"/>
  </r>
  <r>
    <n v="29"/>
    <s v="Slovenia"/>
    <x v="4"/>
    <n v="646070"/>
    <n v="777061"/>
    <n v="93279"/>
    <n v="71"/>
    <n v="96345"/>
    <n v="22595"/>
    <n v="84504"/>
    <x v="1"/>
    <n v="241671.25"/>
  </r>
  <r>
    <n v="30"/>
    <s v="Guatemala"/>
    <x v="3"/>
    <n v="643450"/>
    <n v="482532"/>
    <n v="67397"/>
    <n v="65"/>
    <n v="89069"/>
    <n v="30198"/>
    <n v="80870"/>
    <x v="1"/>
    <n v="159749.5"/>
  </r>
  <r>
    <n v="31"/>
    <s v="Uruguay"/>
    <x v="3"/>
    <n v="643140"/>
    <n v="664560"/>
    <n v="88861"/>
    <n v="69"/>
    <n v="87359"/>
    <n v="23615"/>
    <n v="59205"/>
    <x v="1"/>
    <n v="210195"/>
  </r>
  <r>
    <n v="32"/>
    <s v="Singapore"/>
    <x v="6"/>
    <n v="637650"/>
    <n v="968360"/>
    <n v="86924"/>
    <n v="77"/>
    <n v="92703"/>
    <n v="32509"/>
    <n v="100000"/>
    <x v="1"/>
    <n v="286996.75"/>
  </r>
  <r>
    <n v="33"/>
    <s v="Kosovo"/>
    <x v="4"/>
    <n v="637200"/>
    <n v="535379"/>
    <n v="68871"/>
    <n v="64"/>
    <n v="82807"/>
    <n v="65755"/>
    <n v="97451"/>
    <x v="1"/>
    <n v="171764.25"/>
  </r>
  <r>
    <n v="34"/>
    <s v="Slovakia"/>
    <x v="4"/>
    <n v="633090"/>
    <n v="745049"/>
    <n v="90955"/>
    <n v="69"/>
    <n v="65371"/>
    <n v="19812"/>
    <n v="96723"/>
    <x v="1"/>
    <n v="225343.75"/>
  </r>
  <r>
    <n v="35"/>
    <s v="Brazil"/>
    <x v="3"/>
    <n v="633010"/>
    <n v="587077"/>
    <n v="80524"/>
    <n v="67"/>
    <n v="71835"/>
    <n v="26166"/>
    <n v="78662"/>
    <x v="1"/>
    <n v="184859"/>
  </r>
  <r>
    <n v="36"/>
    <s v="Mexico"/>
    <x v="3"/>
    <n v="631680"/>
    <n v="643272"/>
    <n v="70778"/>
    <n v="69"/>
    <n v="81706"/>
    <n v="17035"/>
    <n v="83641"/>
    <x v="1"/>
    <n v="198939"/>
  </r>
  <r>
    <n v="37"/>
    <s v="Jamaica"/>
    <x v="3"/>
    <n v="630920"/>
    <n v="509031"/>
    <n v="79545"/>
    <n v="68"/>
    <n v="86310"/>
    <n v="18242"/>
    <n v="93593"/>
    <x v="1"/>
    <n v="168721.5"/>
  </r>
  <r>
    <n v="38"/>
    <s v="Lithuania"/>
    <x v="0"/>
    <n v="625540"/>
    <n v="770947"/>
    <n v="90851"/>
    <n v="68"/>
    <n v="66529"/>
    <n v="10301"/>
    <n v="86737"/>
    <x v="1"/>
    <n v="232081.75"/>
  </r>
  <r>
    <n v="39"/>
    <s v="Cyprus"/>
    <x v="0"/>
    <n v="622350"/>
    <n v="786375"/>
    <n v="65284"/>
    <n v="74"/>
    <n v="64801"/>
    <n v="32932"/>
    <n v="88900"/>
    <x v="1"/>
    <n v="229115"/>
  </r>
  <r>
    <n v="40"/>
    <s v="Estonia"/>
    <x v="0"/>
    <n v="618880"/>
    <n v="767446"/>
    <n v="92027"/>
    <n v="69"/>
    <n v="89562"/>
    <n v="21931"/>
    <n v="51866"/>
    <x v="1"/>
    <n v="237258.75"/>
  </r>
  <r>
    <n v="41"/>
    <s v="Panama"/>
    <x v="3"/>
    <n v="617960"/>
    <n v="741300"/>
    <n v="83269"/>
    <n v="70"/>
    <n v="83302"/>
    <n v="14688"/>
    <n v="90243"/>
    <x v="1"/>
    <n v="226967.75"/>
  </r>
  <r>
    <n v="42"/>
    <s v="Uzbekistan"/>
    <x v="7"/>
    <n v="617880"/>
    <n v="439232"/>
    <n v="87610"/>
    <n v="65"/>
    <n v="100000"/>
    <n v="72177"/>
    <n v="50518"/>
    <x v="1"/>
    <n v="156710.5"/>
  </r>
  <r>
    <n v="43"/>
    <s v="Chile"/>
    <x v="3"/>
    <n v="617190"/>
    <n v="685610"/>
    <n v="80658"/>
    <n v="70"/>
    <n v="61143"/>
    <n v="29391"/>
    <n v="87288"/>
    <x v="1"/>
    <n v="206852.75"/>
  </r>
  <r>
    <n v="44"/>
    <s v="Poland"/>
    <x v="4"/>
    <n v="616610"/>
    <n v="747651"/>
    <n v="83732"/>
    <n v="70"/>
    <n v="77988"/>
    <n v="14859"/>
    <n v="76207"/>
    <x v="1"/>
    <n v="227342.75"/>
  </r>
  <r>
    <n v="45"/>
    <s v="Kazakhstan"/>
    <x v="7"/>
    <n v="615180"/>
    <n v="702310"/>
    <n v="94075"/>
    <n v="65"/>
    <n v="80011"/>
    <n v="26360"/>
    <n v="75943"/>
    <x v="1"/>
    <n v="219099"/>
  </r>
  <r>
    <n v="46"/>
    <s v="Romania"/>
    <x v="4"/>
    <n v="614000"/>
    <n v="728045"/>
    <n v="70976"/>
    <n v="67"/>
    <n v="78740"/>
    <n v="8279"/>
    <n v="99875"/>
    <x v="1"/>
    <n v="219440.25"/>
  </r>
  <r>
    <n v="47"/>
    <s v="Kuwait"/>
    <x v="2"/>
    <n v="610610"/>
    <n v="834399"/>
    <n v="73065"/>
    <n v="67"/>
    <n v="82487"/>
    <n v="22176"/>
    <n v="76311"/>
    <x v="1"/>
    <n v="247487.75"/>
  </r>
  <r>
    <n v="48"/>
    <s v="Serbia"/>
    <x v="4"/>
    <n v="607790"/>
    <n v="628846"/>
    <n v="78804"/>
    <n v="69"/>
    <n v="67271"/>
    <n v="34994"/>
    <n v="87865"/>
    <x v="1"/>
    <n v="193730.25"/>
  </r>
  <r>
    <n v="49"/>
    <s v="El Salvador"/>
    <x v="3"/>
    <n v="606050"/>
    <n v="482622"/>
    <n v="57554"/>
    <n v="66"/>
    <n v="85967"/>
    <n v="21440"/>
    <n v="70717"/>
    <x v="1"/>
    <n v="156535.75"/>
  </r>
  <r>
    <n v="50"/>
    <s v="Mauritius"/>
    <x v="8"/>
    <n v="604900"/>
    <n v="673044"/>
    <n v="84964"/>
    <n v="67"/>
    <n v="82459"/>
    <n v="28208"/>
    <n v="82469"/>
    <x v="1"/>
    <n v="210116.75"/>
  </r>
  <r>
    <n v="51"/>
    <s v="Latvia"/>
    <x v="0"/>
    <n v="603200"/>
    <n v="734240"/>
    <n v="89346"/>
    <n v="67"/>
    <n v="56563"/>
    <n v="15203"/>
    <n v="83724"/>
    <x v="1"/>
    <n v="220037.25"/>
  </r>
  <r>
    <n v="52"/>
    <s v="Colombia"/>
    <x v="3"/>
    <n v="601240"/>
    <n v="583025"/>
    <n v="73847"/>
    <n v="68"/>
    <n v="77371"/>
    <n v="18483"/>
    <n v="88515"/>
    <x v="1"/>
    <n v="183560.75"/>
  </r>
  <r>
    <n v="53"/>
    <s v="Hungary"/>
    <x v="4"/>
    <n v="599160"/>
    <n v="742912"/>
    <n v="92415"/>
    <n v="68"/>
    <n v="63424"/>
    <n v="12290"/>
    <n v="92633"/>
    <x v="1"/>
    <n v="224687.75"/>
  </r>
  <r>
    <n v="54"/>
    <s v="Thailand"/>
    <x v="6"/>
    <n v="598470"/>
    <n v="632450"/>
    <n v="81664"/>
    <n v="67"/>
    <n v="85368"/>
    <n v="69367"/>
    <n v="94871"/>
    <x v="1"/>
    <n v="199870.5"/>
  </r>
  <r>
    <n v="55"/>
    <s v="Nicaragua"/>
    <x v="3"/>
    <n v="597210"/>
    <n v="396098"/>
    <n v="77138"/>
    <n v="68"/>
    <n v="77172"/>
    <n v="37092"/>
    <n v="67838"/>
    <x v="1"/>
    <n v="137602"/>
  </r>
  <r>
    <n v="56"/>
    <s v="Japan"/>
    <x v="5"/>
    <n v="594050"/>
    <n v="793438"/>
    <n v="80975"/>
    <n v="75"/>
    <n v="70362"/>
    <n v="3611"/>
    <n v="64840"/>
    <x v="1"/>
    <n v="236193.75"/>
  </r>
  <r>
    <n v="57"/>
    <s v="Argentina"/>
    <x v="3"/>
    <n v="592930"/>
    <n v="663769"/>
    <n v="83585"/>
    <n v="69"/>
    <n v="75926"/>
    <n v="12830"/>
    <n v="87708"/>
    <x v="1"/>
    <n v="205820"/>
  </r>
  <r>
    <n v="58"/>
    <s v="Portugal"/>
    <x v="0"/>
    <n v="592900"/>
    <n v="755476"/>
    <n v="80111"/>
    <n v="73"/>
    <n v="86673"/>
    <n v="5274"/>
    <n v="93933"/>
    <x v="1"/>
    <n v="230565"/>
  </r>
  <r>
    <n v="59"/>
    <s v="Honduras"/>
    <x v="3"/>
    <n v="591920"/>
    <n v="401677"/>
    <n v="67134"/>
    <n v="67"/>
    <n v="80778"/>
    <n v="44490"/>
    <n v="84769"/>
    <x v="1"/>
    <n v="137397.25"/>
  </r>
  <r>
    <n v="60"/>
    <s v="Croatia"/>
    <x v="4"/>
    <n v="588170"/>
    <n v="714768"/>
    <n v="88595"/>
    <n v="71"/>
    <n v="63212"/>
    <n v="20546"/>
    <n v="100000"/>
    <x v="1"/>
    <n v="216643.75"/>
  </r>
  <r>
    <n v="61"/>
    <s v="Philippines"/>
    <x v="6"/>
    <n v="588020"/>
    <n v="486958"/>
    <n v="70594"/>
    <n v="62"/>
    <n v="90970"/>
    <n v="23058"/>
    <n v="76956"/>
    <x v="1"/>
    <n v="162130.5"/>
  </r>
  <r>
    <n v="62"/>
    <s v="South Korea"/>
    <x v="5"/>
    <n v="584550"/>
    <n v="801277"/>
    <n v="64663"/>
    <n v="74"/>
    <n v="49333"/>
    <n v="24698"/>
    <n v="75243"/>
    <x v="1"/>
    <n v="228818.25"/>
  </r>
  <r>
    <n v="63"/>
    <s v="Peru"/>
    <x v="3"/>
    <n v="583960"/>
    <n v="563345"/>
    <n v="71048"/>
    <n v="68"/>
    <n v="74818"/>
    <n v="16156"/>
    <n v="94377"/>
    <x v="1"/>
    <n v="177302.75"/>
  </r>
  <r>
    <n v="64"/>
    <s v="Bosnia and Herzegovina"/>
    <x v="4"/>
    <n v="581310"/>
    <n v="589613"/>
    <n v="78370"/>
    <n v="68"/>
    <n v="55168"/>
    <n v="48291"/>
    <n v="99052"/>
    <x v="1"/>
    <n v="180787.75"/>
  </r>
  <r>
    <n v="65"/>
    <s v="Moldova"/>
    <x v="4"/>
    <n v="576640"/>
    <n v="562459"/>
    <n v="75754"/>
    <n v="66"/>
    <n v="74839"/>
    <n v="25247"/>
    <n v="97536"/>
    <x v="1"/>
    <n v="178263"/>
  </r>
  <r>
    <n v="66"/>
    <s v="Ecuador"/>
    <x v="3"/>
    <n v="576400"/>
    <n v="534315"/>
    <n v="68785"/>
    <n v="69"/>
    <n v="78255"/>
    <n v="19824"/>
    <n v="88705"/>
    <x v="1"/>
    <n v="170338.75"/>
  </r>
  <r>
    <n v="67"/>
    <s v="Kyrgyzstan"/>
    <x v="7"/>
    <n v="574360"/>
    <n v="379776"/>
    <n v="82789"/>
    <n v="64"/>
    <n v="93950"/>
    <n v="49109"/>
    <n v="96314"/>
    <x v="1"/>
    <n v="139128.75"/>
  </r>
  <r>
    <n v="68"/>
    <s v="Greece"/>
    <x v="2"/>
    <n v="572260"/>
    <n v="727059"/>
    <n v="69218"/>
    <n v="73"/>
    <n v="33994"/>
    <n v="0"/>
    <n v="86448"/>
    <x v="1"/>
    <n v="207567.75"/>
  </r>
  <r>
    <n v="69"/>
    <s v="Bolivia"/>
    <x v="3"/>
    <n v="571590"/>
    <n v="480988"/>
    <n v="66687"/>
    <n v="64"/>
    <n v="83771"/>
    <n v="25411"/>
    <n v="88297"/>
    <x v="1"/>
    <n v="157861.5"/>
  </r>
  <r>
    <n v="70"/>
    <s v="Mongolia"/>
    <x v="5"/>
    <n v="567720"/>
    <n v="551731"/>
    <n v="90820"/>
    <n v="63"/>
    <n v="55385"/>
    <n v="48652"/>
    <n v="90335"/>
    <x v="1"/>
    <n v="174484"/>
  </r>
  <r>
    <n v="71"/>
    <s v="Paraguay"/>
    <x v="3"/>
    <n v="565260"/>
    <n v="561302"/>
    <n v="82782"/>
    <n v="66"/>
    <n v="84076"/>
    <n v="38118"/>
    <n v="93275"/>
    <x v="1"/>
    <n v="182040"/>
  </r>
  <r>
    <n v="72"/>
    <s v="Montenegro"/>
    <x v="4"/>
    <n v="558050"/>
    <n v="659448"/>
    <n v="76034"/>
    <n v="69"/>
    <n v="55432"/>
    <n v="30606"/>
    <n v="85181"/>
    <x v="1"/>
    <n v="197728.5"/>
  </r>
  <r>
    <n v="73"/>
    <s v="Dominican Republic"/>
    <x v="3"/>
    <n v="554510"/>
    <n v="631987"/>
    <n v="75007"/>
    <n v="66"/>
    <n v="81207"/>
    <n v="18665"/>
    <n v="73737"/>
    <x v="1"/>
    <n v="197050.25"/>
  </r>
  <r>
    <n v="75"/>
    <s v="Belarus"/>
    <x v="7"/>
    <n v="553350"/>
    <n v="642137"/>
    <n v="85914"/>
    <n v="66"/>
    <n v="45531"/>
    <n v="12996"/>
    <n v="63534"/>
    <x v="1"/>
    <n v="193395.5"/>
  </r>
  <r>
    <n v="76"/>
    <s v="Russia"/>
    <x v="7"/>
    <n v="547720"/>
    <n v="709090"/>
    <n v="84612"/>
    <n v="65"/>
    <n v="57157"/>
    <n v="21297"/>
    <n v="88952"/>
    <x v="1"/>
    <n v="212714.75"/>
  </r>
  <r>
    <n v="77"/>
    <s v="Hong Kong S.A.R. of China"/>
    <x v="5"/>
    <n v="547670"/>
    <n v="871040"/>
    <n v="71719"/>
    <n v="77"/>
    <n v="56946"/>
    <n v="42846"/>
    <n v="37404"/>
    <x v="1"/>
    <n v="249926.25"/>
  </r>
  <r>
    <n v="78"/>
    <s v="Tajikistan"/>
    <x v="7"/>
    <n v="546620"/>
    <n v="290437"/>
    <n v="76318"/>
    <n v="64"/>
    <n v="76524"/>
    <n v="28008"/>
    <n v="54898"/>
    <x v="1"/>
    <n v="110819.75"/>
  </r>
  <r>
    <n v="79"/>
    <s v="Vietnam"/>
    <x v="6"/>
    <n v="541080"/>
    <n v="466518"/>
    <n v="74449"/>
    <n v="68"/>
    <n v="94810"/>
    <n v="22965"/>
    <n v="83330"/>
    <x v="1"/>
    <n v="158944.25"/>
  </r>
  <r>
    <n v="80"/>
    <s v="Libya"/>
    <x v="2"/>
    <n v="541030"/>
    <n v="596054"/>
    <n v="70026"/>
    <n v="62"/>
    <n v="66168"/>
    <n v="24287"/>
    <n v="68190"/>
    <x v="1"/>
    <n v="183062"/>
  </r>
  <r>
    <n v="81"/>
    <s v="Malaysia"/>
    <x v="6"/>
    <n v="538430"/>
    <n v="718950"/>
    <n v="68016"/>
    <n v="67"/>
    <n v="87168"/>
    <n v="49831"/>
    <n v="88332"/>
    <x v="1"/>
    <n v="218533.5"/>
  </r>
  <r>
    <n v="82"/>
    <s v="Indonesia"/>
    <x v="6"/>
    <n v="534450"/>
    <n v="544669"/>
    <n v="67036"/>
    <n v="62"/>
    <n v="83471"/>
    <n v="100000"/>
    <n v="91599"/>
    <x v="1"/>
    <n v="173794"/>
  </r>
  <r>
    <n v="83"/>
    <s v="Congo (Brazzaville)"/>
    <x v="8"/>
    <n v="534170"/>
    <n v="295714"/>
    <n v="33417"/>
    <n v="58"/>
    <n v="53194"/>
    <n v="26589"/>
    <n v="77295"/>
    <x v="1"/>
    <n v="95581.25"/>
  </r>
  <r>
    <n v="84"/>
    <s v="China"/>
    <x v="5"/>
    <n v="533910"/>
    <n v="606207"/>
    <n v="66924"/>
    <n v="70"/>
    <n v="88810"/>
    <n v="17144"/>
    <n v="78545"/>
    <x v="1"/>
    <n v="190485.25"/>
  </r>
  <r>
    <n v="85"/>
    <s v="Ivory Coast"/>
    <x v="8"/>
    <n v="530600"/>
    <n v="382295"/>
    <n v="34881"/>
    <n v="50"/>
    <n v="61136"/>
    <n v="32742"/>
    <n v="83103"/>
    <x v="1"/>
    <n v="119578"/>
  </r>
  <r>
    <n v="86"/>
    <s v="Armenia"/>
    <x v="7"/>
    <n v="528260"/>
    <n v="569131"/>
    <n v="64658"/>
    <n v="67"/>
    <n v="75390"/>
    <n v="14524"/>
    <n v="63853"/>
    <x v="1"/>
    <n v="177294.75"/>
  </r>
  <r>
    <n v="87"/>
    <s v="Nepal"/>
    <x v="9"/>
    <n v="526890"/>
    <n v="296276"/>
    <n v="59919"/>
    <n v="64"/>
    <n v="68106"/>
    <n v="53051"/>
    <n v="75292"/>
    <x v="1"/>
    <n v="106075.25"/>
  </r>
  <r>
    <n v="88"/>
    <s v="Bulgaria"/>
    <x v="4"/>
    <n v="526550"/>
    <n v="674535"/>
    <n v="89975"/>
    <n v="67"/>
    <n v="69022"/>
    <n v="23100"/>
    <n v="99157"/>
    <x v="1"/>
    <n v="208383"/>
  </r>
  <r>
    <n v="89"/>
    <s v="Maldives"/>
    <x v="5"/>
    <n v="519760"/>
    <n v="636701"/>
    <n v="86590"/>
    <n v="71"/>
    <n v="80256"/>
    <n v="37622"/>
    <n v="86623"/>
    <x v="1"/>
    <n v="200886.75"/>
  </r>
  <r>
    <n v="90"/>
    <s v="Azerbaijan"/>
    <x v="7"/>
    <n v="517080"/>
    <n v="585365"/>
    <n v="71746"/>
    <n v="66"/>
    <n v="73492"/>
    <n v="7907"/>
    <n v="49513"/>
    <x v="1"/>
    <n v="182650.75"/>
  </r>
  <r>
    <n v="91"/>
    <s v="Cameroon"/>
    <x v="8"/>
    <n v="514180"/>
    <n v="310058"/>
    <n v="47471"/>
    <n v="54"/>
    <n v="59393"/>
    <n v="37820"/>
    <n v="89303"/>
    <x v="1"/>
    <n v="104230.5"/>
  </r>
  <r>
    <n v="92"/>
    <s v="Senegal"/>
    <x v="8"/>
    <n v="513180"/>
    <n v="295906"/>
    <n v="47591"/>
    <n v="60"/>
    <n v="53276"/>
    <n v="29185"/>
    <n v="83836"/>
    <x v="1"/>
    <n v="99193.25"/>
  </r>
  <r>
    <n v="93"/>
    <s v="Albania"/>
    <x v="4"/>
    <n v="511740"/>
    <n v="575740"/>
    <n v="45126"/>
    <n v="69"/>
    <n v="68576"/>
    <n v="31123"/>
    <n v="95529"/>
    <x v="1"/>
    <n v="172360.5"/>
  </r>
  <r>
    <n v="94"/>
    <s v="North Macedonia"/>
    <x v="4"/>
    <n v="510120"/>
    <n v="610203"/>
    <n v="65815"/>
    <n v="65"/>
    <n v="62789"/>
    <n v="39250"/>
    <n v="96015"/>
    <x v="1"/>
    <n v="184701.75"/>
  </r>
  <r>
    <n v="95"/>
    <s v="Ghana"/>
    <x v="8"/>
    <n v="508840"/>
    <n v="388112"/>
    <n v="50767"/>
    <n v="58"/>
    <n v="72191"/>
    <n v="49597"/>
    <n v="89369"/>
    <x v="1"/>
    <n v="127767.5"/>
  </r>
  <r>
    <n v="96"/>
    <s v="Niger"/>
    <x v="8"/>
    <n v="507410"/>
    <n v="92251"/>
    <n v="34312"/>
    <n v="54"/>
    <n v="72126"/>
    <n v="36953"/>
    <n v="71215"/>
    <x v="1"/>
    <n v="49672.25"/>
  </r>
  <r>
    <n v="97"/>
    <s v="Turkmenistan"/>
    <x v="7"/>
    <n v="506640"/>
    <n v="597458"/>
    <n v="99988"/>
    <n v="62"/>
    <n v="84118"/>
    <n v="67612"/>
    <n v="94017"/>
    <x v="1"/>
    <n v="195391"/>
  </r>
  <r>
    <n v="98"/>
    <s v="Gambia"/>
    <x v="8"/>
    <n v="505100"/>
    <n v="209648"/>
    <n v="43630"/>
    <n v="55"/>
    <n v="53587"/>
    <n v="85851"/>
    <n v="77446"/>
    <x v="1"/>
    <n v="76716.25"/>
  </r>
  <r>
    <n v="99"/>
    <s v="Benin"/>
    <x v="8"/>
    <n v="504520"/>
    <n v="289676"/>
    <n v="4981"/>
    <n v="55"/>
    <n v="63859"/>
    <n v="30655"/>
    <n v="67503"/>
    <x v="1"/>
    <n v="89629"/>
  </r>
  <r>
    <n v="100"/>
    <s v="Laos"/>
    <x v="5"/>
    <n v="503000"/>
    <n v="461369"/>
    <n v="51001"/>
    <n v="59"/>
    <n v="89789"/>
    <n v="49571"/>
    <n v="67209"/>
    <x v="1"/>
    <n v="150539.75"/>
  </r>
  <r>
    <n v="101"/>
    <s v="Bangladesh"/>
    <x v="9"/>
    <n v="502460"/>
    <n v="362965"/>
    <n v="44354"/>
    <n v="65"/>
    <n v="84173"/>
    <n v="29746"/>
    <n v="69948"/>
    <x v="1"/>
    <n v="122873"/>
  </r>
  <r>
    <n v="102"/>
    <s v="Guinea"/>
    <x v="8"/>
    <n v="498430"/>
    <n v="239946"/>
    <n v="33995"/>
    <n v="55"/>
    <n v="53616"/>
    <n v="46141"/>
    <n v="79789"/>
    <x v="1"/>
    <n v="81889.25"/>
  </r>
  <r>
    <n v="103"/>
    <s v="South Africa"/>
    <x v="8"/>
    <n v="495640"/>
    <n v="552209"/>
    <n v="76313"/>
    <n v="57"/>
    <n v="62482"/>
    <n v="26655"/>
    <n v="90697"/>
    <x v="1"/>
    <n v="172751"/>
  </r>
  <r>
    <n v="104"/>
    <s v="Turkey"/>
    <x v="2"/>
    <n v="494760"/>
    <n v="719412"/>
    <n v="69028"/>
    <n v="67"/>
    <n v="32981"/>
    <n v="17921"/>
    <n v="80903"/>
    <x v="1"/>
    <n v="205355.25"/>
  </r>
  <r>
    <n v="105"/>
    <s v="Pakistan"/>
    <x v="9"/>
    <n v="493400"/>
    <n v="363774"/>
    <n v="36125"/>
    <n v="59"/>
    <n v="58436"/>
    <n v="46489"/>
    <n v="82229"/>
    <x v="1"/>
    <n v="114583.75"/>
  </r>
  <r>
    <n v="106"/>
    <s v="Morocco"/>
    <x v="2"/>
    <n v="491800"/>
    <n v="452474"/>
    <n v="18719"/>
    <n v="66"/>
    <n v="66589"/>
    <n v="6321"/>
    <n v="83919"/>
    <x v="1"/>
    <n v="134445.5"/>
  </r>
  <r>
    <n v="107"/>
    <s v="Venezuela"/>
    <x v="3"/>
    <n v="489220"/>
    <n v="486463"/>
    <n v="76552"/>
    <n v="67"/>
    <n v="39707"/>
    <n v="14390"/>
    <n v="86857"/>
    <x v="1"/>
    <n v="150680.5"/>
  </r>
  <r>
    <n v="108"/>
    <s v="Georgia"/>
    <x v="7"/>
    <n v="489140"/>
    <n v="588527"/>
    <n v="40074"/>
    <n v="64"/>
    <n v="68128"/>
    <n v="5991"/>
    <n v="66835"/>
    <x v="1"/>
    <n v="174182.25"/>
  </r>
  <r>
    <n v="109"/>
    <s v="Algeria"/>
    <x v="2"/>
    <n v="488710"/>
    <n v="540196"/>
    <n v="65216"/>
    <n v="66"/>
    <n v="16650"/>
    <n v="26656"/>
    <n v="78135"/>
    <x v="1"/>
    <n v="155515.5"/>
  </r>
  <r>
    <n v="110"/>
    <s v="Ukraine"/>
    <x v="7"/>
    <n v="487480"/>
    <n v="558894"/>
    <n v="81739"/>
    <n v="65"/>
    <n v="58244"/>
    <n v="33400"/>
    <n v="98189"/>
    <x v="1"/>
    <n v="174719.25"/>
  </r>
  <r>
    <n v="111"/>
    <s v="Iraq"/>
    <x v="2"/>
    <n v="485410"/>
    <n v="519779"/>
    <n v="54407"/>
    <n v="61"/>
    <n v="42152"/>
    <n v="28332"/>
    <n v="92520"/>
    <x v="1"/>
    <n v="154084.5"/>
  </r>
  <r>
    <n v="112"/>
    <s v="Gabon"/>
    <x v="8"/>
    <n v="485180"/>
    <n v="592207"/>
    <n v="60308"/>
    <n v="60"/>
    <n v="59282"/>
    <n v="10642"/>
    <n v="88363"/>
    <x v="1"/>
    <n v="177949.25"/>
  </r>
  <r>
    <n v="113"/>
    <s v="Burkina Faso"/>
    <x v="8"/>
    <n v="483380"/>
    <n v="208086"/>
    <n v="40293"/>
    <n v="54"/>
    <n v="53165"/>
    <n v="33691"/>
    <n v="77674"/>
    <x v="1"/>
    <n v="75386"/>
  </r>
  <r>
    <n v="114"/>
    <s v="Cambodia"/>
    <x v="6"/>
    <n v="483040"/>
    <n v="344236"/>
    <n v="58036"/>
    <n v="62"/>
    <n v="98037"/>
    <n v="38822"/>
    <n v="88816"/>
    <x v="1"/>
    <n v="125077.25"/>
  </r>
  <r>
    <n v="115"/>
    <s v="Mozambique"/>
    <x v="8"/>
    <n v="479450"/>
    <n v="104394"/>
    <n v="54046"/>
    <n v="55"/>
    <n v="84989"/>
    <n v="42057"/>
    <n v="70266"/>
    <x v="1"/>
    <n v="60857.25"/>
  </r>
  <r>
    <n v="116"/>
    <s v="Nigeria"/>
    <x v="8"/>
    <n v="475930"/>
    <n v="378638"/>
    <n v="53327"/>
    <n v="50"/>
    <n v="60448"/>
    <n v="39237"/>
    <n v="92894"/>
    <x v="1"/>
    <n v="123103.25"/>
  </r>
  <r>
    <n v="117"/>
    <s v="Mali"/>
    <x v="8"/>
    <n v="472350"/>
    <n v="221162"/>
    <n v="50325"/>
    <n v="52"/>
    <n v="53624"/>
    <n v="30388"/>
    <n v="86888"/>
    <x v="1"/>
    <n v="81277.75"/>
  </r>
  <r>
    <n v="118"/>
    <s v="Iran"/>
    <x v="2"/>
    <n v="472120"/>
    <n v="588487"/>
    <n v="47556"/>
    <n v="66"/>
    <n v="38368"/>
    <n v="61061"/>
    <n v="73740"/>
    <x v="1"/>
    <n v="168602.75"/>
  </r>
  <r>
    <n v="119"/>
    <s v="Uganda"/>
    <x v="8"/>
    <n v="463650"/>
    <n v="207955"/>
    <n v="61212"/>
    <n v="56"/>
    <n v="55589"/>
    <n v="49394"/>
    <n v="90151"/>
    <x v="1"/>
    <n v="81189"/>
  </r>
  <r>
    <n v="120"/>
    <s v="Liberia"/>
    <x v="8"/>
    <n v="462520"/>
    <n v="130184"/>
    <n v="49489"/>
    <n v="56"/>
    <n v="60083"/>
    <n v="40784"/>
    <n v="89568"/>
    <x v="1"/>
    <n v="59939"/>
  </r>
  <r>
    <n v="121"/>
    <s v="Kenya"/>
    <x v="8"/>
    <n v="460660"/>
    <n v="344317"/>
    <n v="43331"/>
    <n v="61"/>
    <n v="67438"/>
    <n v="69304"/>
    <n v="86716"/>
    <x v="1"/>
    <n v="113771.5"/>
  </r>
  <r>
    <n v="122"/>
    <s v="Tunisia"/>
    <x v="2"/>
    <n v="459650"/>
    <n v="524916"/>
    <n v="43891"/>
    <n v="67"/>
    <n v="46594"/>
    <n v="10556"/>
    <n v="91908"/>
    <x v="1"/>
    <n v="153850.25"/>
  </r>
  <r>
    <n v="123"/>
    <s v="Lebanon"/>
    <x v="2"/>
    <n v="458380"/>
    <n v="596729"/>
    <n v="74031"/>
    <n v="67"/>
    <n v="24384"/>
    <n v="25875"/>
    <n v="95192"/>
    <x v="1"/>
    <n v="173786"/>
  </r>
  <r>
    <n v="124"/>
    <s v="Namibia"/>
    <x v="8"/>
    <n v="457410"/>
    <n v="503915"/>
    <n v="68320"/>
    <n v="57"/>
    <n v="57369"/>
    <n v="16775"/>
    <n v="89195"/>
    <x v="1"/>
    <n v="157401"/>
  </r>
  <r>
    <n v="125"/>
    <s v="Palestinian Territories"/>
    <x v="2"/>
    <n v="451670"/>
    <n v="369013"/>
    <n v="69828"/>
    <n v="62"/>
    <n v="46105"/>
    <n v="15142"/>
    <n v="86234"/>
    <x v="1"/>
    <n v="121236.5"/>
  </r>
  <r>
    <n v="126"/>
    <s v="Myanmar"/>
    <x v="6"/>
    <n v="442580"/>
    <n v="380272"/>
    <n v="60797"/>
    <n v="59"/>
    <n v="83938"/>
    <n v="96061"/>
    <n v="67365"/>
    <x v="1"/>
    <n v="131251.75"/>
  </r>
  <r>
    <n v="127"/>
    <s v="Jordan"/>
    <x v="2"/>
    <n v="439460"/>
    <n v="508214"/>
    <n v="58467"/>
    <n v="67"/>
    <n v="63484"/>
    <n v="14627"/>
    <n v="72628"/>
    <x v="1"/>
    <n v="157541.25"/>
  </r>
  <r>
    <n v="128"/>
    <s v="Chad"/>
    <x v="8"/>
    <n v="435540"/>
    <n v="145411"/>
    <n v="30116"/>
    <n v="48"/>
    <n v="33461"/>
    <n v="39712"/>
    <n v="84554"/>
    <x v="1"/>
    <n v="52247"/>
  </r>
  <r>
    <n v="129"/>
    <s v="Sri Lanka"/>
    <x v="9"/>
    <n v="432500"/>
    <n v="565743"/>
    <n v="69937"/>
    <n v="67"/>
    <n v="78129"/>
    <n v="44231"/>
    <n v="91105"/>
    <x v="1"/>
    <n v="178452.25"/>
  </r>
  <r>
    <n v="130"/>
    <s v="Eswatini"/>
    <x v="8"/>
    <n v="430810"/>
    <n v="484883"/>
    <n v="59133"/>
    <n v="51"/>
    <n v="45051"/>
    <n v="12449"/>
    <n v="73048"/>
    <x v="1"/>
    <n v="147266.75"/>
  </r>
  <r>
    <n v="131"/>
    <s v="Comoros"/>
    <x v="8"/>
    <n v="428860"/>
    <n v="278460"/>
    <n v="31338"/>
    <n v="57"/>
    <n v="28190"/>
    <n v="44560"/>
    <n v="81488"/>
    <x v="1"/>
    <n v="84497"/>
  </r>
  <r>
    <n v="132"/>
    <s v="Egypt"/>
    <x v="2"/>
    <n v="428270"/>
    <n v="545037"/>
    <n v="55191"/>
    <n v="62"/>
    <n v="62343"/>
    <n v="12780"/>
    <n v="83139"/>
    <x v="1"/>
    <n v="165642.75"/>
  </r>
  <r>
    <n v="133"/>
    <s v="Ethiopia"/>
    <x v="8"/>
    <n v="427470"/>
    <n v="211179"/>
    <n v="57905"/>
    <n v="59"/>
    <n v="62947"/>
    <n v="44613"/>
    <n v="79145"/>
    <x v="1"/>
    <n v="83007.75"/>
  </r>
  <r>
    <n v="134"/>
    <s v="Mauritania"/>
    <x v="2"/>
    <n v="422740"/>
    <n v="380442"/>
    <n v="63873"/>
    <n v="57"/>
    <n v="30503"/>
    <n v="21905"/>
    <n v="75690"/>
    <x v="1"/>
    <n v="118704.5"/>
  </r>
  <r>
    <n v="135"/>
    <s v="Madagascar"/>
    <x v="8"/>
    <n v="420850"/>
    <n v="151864"/>
    <n v="42883"/>
    <n v="59"/>
    <n v="28964"/>
    <n v="34110"/>
    <n v="84115"/>
    <x v="1"/>
    <n v="55927.75"/>
  </r>
  <r>
    <n v="136"/>
    <s v="Togo"/>
    <x v="8"/>
    <n v="410680"/>
    <n v="145093"/>
    <n v="20430"/>
    <n v="55"/>
    <n v="40389"/>
    <n v="38529"/>
    <n v="80512"/>
    <x v="1"/>
    <n v="51478"/>
  </r>
  <r>
    <n v="137"/>
    <s v="Zambia"/>
    <x v="8"/>
    <n v="407340"/>
    <n v="301348"/>
    <n v="47069"/>
    <n v="56"/>
    <n v="68009"/>
    <n v="42024"/>
    <n v="86481"/>
    <x v="1"/>
    <n v="104106.5"/>
  </r>
  <r>
    <n v="138"/>
    <s v="Sierra Leone"/>
    <x v="8"/>
    <n v="384940"/>
    <n v="159352"/>
    <n v="32170"/>
    <n v="52"/>
    <n v="57009"/>
    <n v="44853"/>
    <n v="91490"/>
    <x v="1"/>
    <n v="62132.75"/>
  </r>
  <r>
    <n v="139"/>
    <s v="India"/>
    <x v="9"/>
    <n v="381890"/>
    <n v="423021"/>
    <n v="26976"/>
    <n v="61"/>
    <n v="86913"/>
    <n v="45496"/>
    <n v="80681"/>
    <x v="1"/>
    <n v="134227.5"/>
  </r>
  <r>
    <n v="140"/>
    <s v="Burundi"/>
    <x v="8"/>
    <n v="377530"/>
    <n v="0"/>
    <n v="5329"/>
    <n v="53"/>
    <n v="41572"/>
    <n v="31852"/>
    <n v="61230"/>
    <x v="1"/>
    <n v="11725.25"/>
  </r>
  <r>
    <n v="141"/>
    <s v="Yemen"/>
    <x v="2"/>
    <n v="365790"/>
    <n v="188200"/>
    <n v="70904"/>
    <n v="57"/>
    <n v="37460"/>
    <n v="17047"/>
    <n v="83781"/>
    <x v="1"/>
    <n v="74141"/>
  </r>
  <r>
    <n v="142"/>
    <s v="Tanzania"/>
    <x v="8"/>
    <n v="362320"/>
    <n v="247494"/>
    <n v="46023"/>
    <n v="58"/>
    <n v="76717"/>
    <n v="56804"/>
    <n v="57737"/>
    <x v="1"/>
    <n v="92558.5"/>
  </r>
  <r>
    <n v="143"/>
    <s v="Haiti"/>
    <x v="3"/>
    <n v="361490"/>
    <n v="167985"/>
    <n v="14780"/>
    <n v="56"/>
    <n v="35964"/>
    <n v="85533"/>
    <n v="74540"/>
    <x v="1"/>
    <n v="54682.25"/>
  </r>
  <r>
    <n v="144"/>
    <s v="Malawi"/>
    <x v="8"/>
    <n v="360000"/>
    <n v="64296"/>
    <n v="14298"/>
    <n v="58"/>
    <n v="67635"/>
    <n v="39358"/>
    <n v="75475"/>
    <x v="1"/>
    <n v="36557.25"/>
  </r>
  <r>
    <n v="145"/>
    <s v="Lesotho"/>
    <x v="8"/>
    <n v="351180"/>
    <n v="257512"/>
    <n v="62320"/>
    <n v="49"/>
    <n v="56631"/>
    <n v="18997"/>
    <n v="97205"/>
    <x v="1"/>
    <n v="94115.75"/>
  </r>
  <r>
    <n v="146"/>
    <s v="Botswana"/>
    <x v="8"/>
    <n v="346650"/>
    <n v="627831"/>
    <n v="61801"/>
    <n v="59"/>
    <n v="75231"/>
    <n v="5061"/>
    <n v="83820"/>
    <x v="1"/>
    <n v="191215.75"/>
  </r>
  <r>
    <n v="147"/>
    <s v="Rwanda"/>
    <x v="8"/>
    <n v="341470"/>
    <n v="207692"/>
    <n v="17247"/>
    <n v="61"/>
    <n v="87530"/>
    <n v="42024"/>
    <n v="9895"/>
    <x v="1"/>
    <n v="78117.25"/>
  </r>
  <r>
    <n v="148"/>
    <s v="Zimbabwe"/>
    <x v="8"/>
    <n v="314480"/>
    <n v="260868"/>
    <n v="55324"/>
    <n v="56"/>
    <n v="50129"/>
    <n v="29023"/>
    <n v="86197"/>
    <x v="1"/>
    <n v="91580.25"/>
  </r>
  <r>
    <n v="149"/>
    <s v="Afghanistan"/>
    <x v="9"/>
    <n v="252290"/>
    <n v="211402"/>
    <n v="0"/>
    <n v="52"/>
    <n v="0"/>
    <n v="22474"/>
    <n v="98250"/>
    <x v="1"/>
    <n v="52850.5"/>
  </r>
  <r>
    <n v="1"/>
    <s v="Finland"/>
    <x v="0"/>
    <n v="782100"/>
    <n v="856175"/>
    <n v="95317"/>
    <n v="80"/>
    <n v="99399"/>
    <n v="23237"/>
    <n v="90939"/>
    <x v="2"/>
    <n v="262722.75"/>
  </r>
  <r>
    <n v="2"/>
    <s v="Denmark"/>
    <x v="0"/>
    <n v="763620"/>
    <n v="883769"/>
    <n v="94149"/>
    <n v="80"/>
    <n v="97146"/>
    <n v="40097"/>
    <n v="90670"/>
    <x v="2"/>
    <n v="268766"/>
  </r>
  <r>
    <n v="3"/>
    <s v="Iceland"/>
    <x v="0"/>
    <n v="755750"/>
    <n v="876134"/>
    <n v="100000"/>
    <n v="80"/>
    <n v="97048"/>
    <n v="57619"/>
    <n v="32583"/>
    <x v="2"/>
    <n v="268295.5"/>
  </r>
  <r>
    <n v="4"/>
    <s v="Switzerland"/>
    <x v="0"/>
    <n v="751160"/>
    <n v="916979"/>
    <n v="92890"/>
    <n v="81"/>
    <n v="91475"/>
    <n v="31377"/>
    <n v="78559"/>
    <x v="2"/>
    <n v="275336"/>
  </r>
  <r>
    <n v="5"/>
    <s v="Netherlands"/>
    <x v="0"/>
    <n v="741490"/>
    <n v="880140"/>
    <n v="91358"/>
    <n v="80"/>
    <n v="87925"/>
    <n v="57932"/>
    <n v="71415"/>
    <x v="2"/>
    <n v="264855.75"/>
  </r>
  <r>
    <n v="6"/>
    <s v="Luxembourg"/>
    <x v="0"/>
    <n v="740400"/>
    <n v="1000000"/>
    <n v="87470"/>
    <n v="80"/>
    <n v="94553"/>
    <n v="25688"/>
    <n v="66139"/>
    <x v="2"/>
    <n v="295505.75"/>
  </r>
  <r>
    <n v="7"/>
    <s v="Sweden"/>
    <x v="0"/>
    <n v="738430"/>
    <n v="869133"/>
    <n v="91221"/>
    <n v="80"/>
    <n v="97793"/>
    <n v="46574"/>
    <n v="87289"/>
    <x v="2"/>
    <n v="264536.75"/>
  </r>
  <r>
    <n v="8"/>
    <s v="Norway"/>
    <x v="0"/>
    <n v="736510"/>
    <n v="903954"/>
    <n v="93873"/>
    <n v="80"/>
    <n v="98326"/>
    <n v="46298"/>
    <n v="80773"/>
    <x v="2"/>
    <n v="274038.25"/>
  </r>
  <r>
    <n v="9"/>
    <s v="Israel"/>
    <x v="2"/>
    <n v="736380"/>
    <n v="826439"/>
    <n v="92506"/>
    <n v="81"/>
    <n v="76704"/>
    <n v="33090"/>
    <n v="24303"/>
    <x v="2"/>
    <n v="248912.25"/>
  </r>
  <r>
    <n v="10"/>
    <s v="New Zealand"/>
    <x v="1"/>
    <n v="719980"/>
    <n v="838257"/>
    <n v="93539"/>
    <n v="79"/>
    <n v="91854"/>
    <n v="52286"/>
    <n v="82307"/>
    <x v="2"/>
    <n v="255912.5"/>
  </r>
  <r>
    <n v="11"/>
    <s v="Austria"/>
    <x v="0"/>
    <n v="716300"/>
    <n v="874141"/>
    <n v="88283"/>
    <n v="80"/>
    <n v="84156"/>
    <n v="41306"/>
    <n v="56086"/>
    <x v="2"/>
    <n v="261645"/>
  </r>
  <r>
    <n v="12"/>
    <s v="Australia"/>
    <x v="1"/>
    <n v="716210"/>
    <n v="859913"/>
    <n v="91171"/>
    <n v="80"/>
    <n v="91414"/>
    <n v="55053"/>
    <n v="58117"/>
    <x v="2"/>
    <n v="260624.5"/>
  </r>
  <r>
    <n v="13"/>
    <s v="Ireland"/>
    <x v="0"/>
    <n v="704080"/>
    <n v="963627"/>
    <n v="88309"/>
    <n v="80"/>
    <n v="84692"/>
    <n v="40537"/>
    <n v="69472"/>
    <x v="2"/>
    <n v="284157"/>
  </r>
  <r>
    <n v="14"/>
    <s v="Germany"/>
    <x v="0"/>
    <n v="703410"/>
    <n v="870708"/>
    <n v="82395"/>
    <n v="80"/>
    <n v="79064"/>
    <n v="34739"/>
    <n v="60939"/>
    <x v="2"/>
    <n v="258041.75"/>
  </r>
  <r>
    <n v="15"/>
    <s v="Canada"/>
    <x v="1"/>
    <n v="702510"/>
    <n v="853832"/>
    <n v="89988"/>
    <n v="80"/>
    <n v="89034"/>
    <n v="46367"/>
    <n v="62745"/>
    <x v="2"/>
    <n v="258213.5"/>
  </r>
  <r>
    <n v="16"/>
    <s v="United States"/>
    <x v="1"/>
    <n v="697680"/>
    <n v="897234"/>
    <n v="89524"/>
    <n v="75"/>
    <n v="77600"/>
    <n v="47025"/>
    <n v="30113"/>
    <x v="2"/>
    <n v="266089.5"/>
  </r>
  <r>
    <n v="17"/>
    <s v="United Kingdom"/>
    <x v="0"/>
    <n v="694250"/>
    <n v="845109"/>
    <n v="86604"/>
    <n v="79"/>
    <n v="80610"/>
    <n v="61778"/>
    <n v="56096"/>
    <x v="2"/>
    <n v="253080.75"/>
  </r>
  <r>
    <n v="18"/>
    <s v="Czechia"/>
    <x v="4"/>
    <n v="691980"/>
    <n v="821499"/>
    <n v="95467"/>
    <n v="78"/>
    <n v="89237"/>
    <n v="33864"/>
    <n v="8215"/>
    <x v="2"/>
    <n v="251550.75"/>
  </r>
  <r>
    <n v="19"/>
    <s v="Belgium"/>
    <x v="0"/>
    <n v="680500"/>
    <n v="863249"/>
    <n v="83805"/>
    <n v="79"/>
    <n v="66475"/>
    <n v="10548"/>
    <n v="34685"/>
    <x v="2"/>
    <n v="253382.25"/>
  </r>
  <r>
    <n v="20"/>
    <s v="France"/>
    <x v="0"/>
    <n v="668670"/>
    <n v="843077"/>
    <n v="92324"/>
    <n v="81"/>
    <n v="76644"/>
    <n v="14938"/>
    <n v="45266"/>
    <x v="2"/>
    <n v="253011.25"/>
  </r>
  <r>
    <n v="21"/>
    <s v="Bahrain"/>
    <x v="2"/>
    <n v="664690"/>
    <n v="839134"/>
    <n v="77954"/>
    <n v="75"/>
    <n v="93632"/>
    <n v="42584"/>
    <n v="26344"/>
    <x v="2"/>
    <n v="252680"/>
  </r>
  <r>
    <n v="22"/>
    <s v="Slovenia"/>
    <x v="4"/>
    <n v="663010"/>
    <n v="819057"/>
    <n v="94632"/>
    <n v="79"/>
    <n v="92499"/>
    <n v="25178"/>
    <n v="19555"/>
    <x v="2"/>
    <n v="251547"/>
  </r>
  <r>
    <n v="23"/>
    <s v="Costa Rica"/>
    <x v="3"/>
    <n v="658200"/>
    <n v="717062"/>
    <n v="79887"/>
    <n v="79"/>
    <n v="89372"/>
    <n v="19015"/>
    <n v="17451"/>
    <x v="2"/>
    <n v="221580.25"/>
  </r>
  <r>
    <n v="24"/>
    <s v="United Arab Emirates"/>
    <x v="2"/>
    <n v="657600"/>
    <n v="904366"/>
    <n v="74215"/>
    <n v="75"/>
    <n v="94864"/>
    <n v="43534"/>
    <n v="42677"/>
    <x v="2"/>
    <n v="268361.25"/>
  </r>
  <r>
    <n v="25"/>
    <s v="Saudi Arabia"/>
    <x v="2"/>
    <n v="652280"/>
    <n v="846181"/>
    <n v="82739"/>
    <n v="74"/>
    <n v="87940"/>
    <n v="16759"/>
    <n v="30737"/>
    <x v="2"/>
    <n v="254215"/>
  </r>
  <r>
    <n v="26"/>
    <s v="Taiwan Province of China"/>
    <x v="5"/>
    <n v="651250"/>
    <n v="858555"/>
    <n v="82975"/>
    <n v="78"/>
    <n v="73273"/>
    <n v="16035"/>
    <n v="28669"/>
    <x v="2"/>
    <n v="253700.75"/>
  </r>
  <r>
    <n v="27"/>
    <s v="Singapore"/>
    <x v="6"/>
    <n v="648020"/>
    <n v="972490"/>
    <n v="85415"/>
    <n v="82"/>
    <n v="90749"/>
    <n v="34770"/>
    <n v="100000"/>
    <x v="2"/>
    <n v="287163.5"/>
  </r>
  <r>
    <n v="28"/>
    <s v="Romania"/>
    <x v="4"/>
    <n v="647700"/>
    <n v="777992"/>
    <n v="76229"/>
    <n v="76"/>
    <n v="81787"/>
    <n v="8393"/>
    <n v="1047"/>
    <x v="2"/>
    <n v="234002"/>
  </r>
  <r>
    <n v="29"/>
    <s v="Spain"/>
    <x v="0"/>
    <n v="647630"/>
    <n v="818361"/>
    <n v="91750"/>
    <n v="81"/>
    <n v="68232"/>
    <n v="21683"/>
    <n v="25393"/>
    <x v="2"/>
    <n v="244585.75"/>
  </r>
  <r>
    <n v="30"/>
    <s v="Uruguay"/>
    <x v="3"/>
    <n v="647360"/>
    <n v="730759"/>
    <n v="89371"/>
    <n v="76"/>
    <n v="89858"/>
    <n v="21930"/>
    <n v="45200"/>
    <x v="2"/>
    <n v="227497"/>
  </r>
  <r>
    <n v="31"/>
    <s v="Italy"/>
    <x v="0"/>
    <n v="646670"/>
    <n v="830189"/>
    <n v="79682"/>
    <n v="80"/>
    <n v="55740"/>
    <n v="18239"/>
    <n v="10098"/>
    <x v="2"/>
    <n v="241402.75"/>
  </r>
  <r>
    <n v="32"/>
    <s v="Kosovo"/>
    <x v="4"/>
    <n v="645510"/>
    <n v="616511"/>
    <n v="71924"/>
    <n v="73"/>
    <n v="80922"/>
    <n v="66076"/>
    <n v="5966"/>
    <x v="2"/>
    <n v="192339.25"/>
  </r>
  <r>
    <n v="33"/>
    <s v="Malta"/>
    <x v="0"/>
    <n v="644690"/>
    <n v="832028"/>
    <n v="88561"/>
    <n v="80"/>
    <n v="91775"/>
    <n v="37249"/>
    <n v="28261"/>
    <x v="2"/>
    <n v="253091"/>
  </r>
  <r>
    <n v="34"/>
    <s v="Lithuania"/>
    <x v="0"/>
    <n v="644560"/>
    <n v="816481"/>
    <n v="91192"/>
    <n v="76"/>
    <n v="66978"/>
    <n v="11378"/>
    <n v="13111"/>
    <x v="2"/>
    <n v="243662.75"/>
  </r>
  <r>
    <n v="35"/>
    <s v="Slovakia"/>
    <x v="4"/>
    <n v="639070"/>
    <n v="785947"/>
    <n v="93319"/>
    <n v="78"/>
    <n v="64679"/>
    <n v="25180"/>
    <n v="4181"/>
    <x v="2"/>
    <n v="235986.25"/>
  </r>
  <r>
    <n v="36"/>
    <s v="Estonia"/>
    <x v="0"/>
    <n v="634080"/>
    <n v="811754"/>
    <n v="93364"/>
    <n v="78"/>
    <n v="93145"/>
    <n v="26272"/>
    <n v="56726"/>
    <x v="2"/>
    <n v="249565.75"/>
  </r>
  <r>
    <n v="37"/>
    <s v="Panama"/>
    <x v="3"/>
    <n v="630910"/>
    <n v="776178"/>
    <n v="83838"/>
    <n v="78"/>
    <n v="80043"/>
    <n v="10441"/>
    <n v="8740"/>
    <x v="2"/>
    <n v="235014.75"/>
  </r>
  <r>
    <n v="38"/>
    <s v="Brazil"/>
    <x v="3"/>
    <n v="629280"/>
    <n v="661668"/>
    <n v="79111"/>
    <n v="75"/>
    <n v="73827"/>
    <n v="28005"/>
    <n v="22882"/>
    <x v="2"/>
    <n v="203651.5"/>
  </r>
  <r>
    <n v="39"/>
    <s v="Guatemala"/>
    <x v="3"/>
    <n v="626220"/>
    <n v="576466"/>
    <n v="62965"/>
    <n v="72"/>
    <n v="89476"/>
    <n v="23985"/>
    <n v="19561"/>
    <x v="2"/>
    <n v="182226.75"/>
  </r>
  <r>
    <n v="40"/>
    <s v="Kazakhstan"/>
    <x v="7"/>
    <n v="623410"/>
    <n v="754949"/>
    <n v="92443"/>
    <n v="75"/>
    <n v="78852"/>
    <n v="28593"/>
    <n v="26778"/>
    <x v="2"/>
    <n v="231561"/>
  </r>
  <r>
    <n v="41"/>
    <s v="Cyprus"/>
    <x v="8"/>
    <n v="622090"/>
    <n v="821521"/>
    <n v="68892"/>
    <n v="81"/>
    <n v="60557"/>
    <n v="26356"/>
    <n v="10528"/>
    <x v="2"/>
    <n v="237742.5"/>
  </r>
  <r>
    <n v="42"/>
    <s v="Latvia"/>
    <x v="0"/>
    <n v="618040"/>
    <n v="783741"/>
    <n v="92495"/>
    <n v="75"/>
    <n v="67845"/>
    <n v="16089"/>
    <n v="15420"/>
    <x v="2"/>
    <n v="236020.25"/>
  </r>
  <r>
    <n v="43"/>
    <s v="Serbia"/>
    <x v="4"/>
    <n v="617800"/>
    <n v="701436"/>
    <n v="82245"/>
    <n v="76"/>
    <n v="73761"/>
    <n v="46725"/>
    <n v="15064"/>
    <x v="2"/>
    <n v="214360.5"/>
  </r>
  <r>
    <n v="44"/>
    <s v="Chile"/>
    <x v="3"/>
    <n v="617180"/>
    <n v="747425"/>
    <n v="81804"/>
    <n v="79"/>
    <n v="62162"/>
    <n v="26430"/>
    <n v="11689"/>
    <x v="2"/>
    <n v="222847.75"/>
  </r>
  <r>
    <n v="45"/>
    <s v="Nicaragua"/>
    <x v="3"/>
    <n v="616460"/>
    <n v="500014"/>
    <n v="77965"/>
    <n v="75"/>
    <n v="83340"/>
    <n v="35862"/>
    <n v="36102"/>
    <x v="2"/>
    <n v="165329.75"/>
  </r>
  <r>
    <n v="46"/>
    <s v="Mexico"/>
    <x v="3"/>
    <n v="612760"/>
    <n v="702240"/>
    <n v="67101"/>
    <n v="75"/>
    <n v="83965"/>
    <n v="19635"/>
    <n v="19636"/>
    <x v="2"/>
    <n v="213326.5"/>
  </r>
  <r>
    <n v="47"/>
    <s v="Croatia"/>
    <x v="4"/>
    <n v="612520"/>
    <n v="771867"/>
    <n v="89648"/>
    <n v="78"/>
    <n v="72241"/>
    <n v="23325"/>
    <n v="68380"/>
    <x v="2"/>
    <n v="233439"/>
  </r>
  <r>
    <n v="48"/>
    <s v="Poland"/>
    <x v="4"/>
    <n v="612280"/>
    <n v="795468"/>
    <n v="88914"/>
    <n v="78"/>
    <n v="70671"/>
    <n v="26538"/>
    <n v="23877"/>
    <x v="2"/>
    <n v="238763.25"/>
  </r>
  <r>
    <n v="49"/>
    <s v="El Salvador"/>
    <x v="3"/>
    <n v="612000"/>
    <n v="572506"/>
    <n v="58176"/>
    <n v="75"/>
    <n v="89984"/>
    <n v="18951"/>
    <n v="36099"/>
    <x v="2"/>
    <n v="180166.5"/>
  </r>
  <r>
    <n v="50"/>
    <s v="Kuwait"/>
    <x v="2"/>
    <n v="610610"/>
    <n v="861713"/>
    <n v="74496"/>
    <n v="79"/>
    <n v="83419"/>
    <n v="18583"/>
    <n v="24989"/>
    <x v="2"/>
    <n v="254907"/>
  </r>
  <r>
    <n v="51"/>
    <s v="Hungary"/>
    <x v="4"/>
    <n v="608590"/>
    <n v="791093"/>
    <n v="93384"/>
    <n v="76"/>
    <n v="65489"/>
    <n v="16603"/>
    <n v="10886"/>
    <x v="2"/>
    <n v="237491.5"/>
  </r>
  <r>
    <n v="52"/>
    <s v="Mauritius"/>
    <x v="8"/>
    <n v="607110"/>
    <n v="720156"/>
    <n v="84581"/>
    <n v="73"/>
    <n v="79651"/>
    <n v="27965"/>
    <n v="18227"/>
    <x v="2"/>
    <n v="221097"/>
  </r>
  <r>
    <n v="53"/>
    <s v="Uzbekistan"/>
    <x v="7"/>
    <n v="606270"/>
    <n v="551801"/>
    <n v="82699"/>
    <n v="74"/>
    <n v="96707"/>
    <n v="60507"/>
    <n v="40970"/>
    <x v="2"/>
    <n v="182801.75"/>
  </r>
  <r>
    <n v="54"/>
    <s v="Japan"/>
    <x v="5"/>
    <n v="603890"/>
    <n v="830320"/>
    <n v="82532"/>
    <n v="82"/>
    <n v="72502"/>
    <n v="1532"/>
    <n v="37182"/>
    <x v="2"/>
    <n v="246338.5"/>
  </r>
  <r>
    <n v="55"/>
    <s v="Honduras"/>
    <x v="3"/>
    <n v="602210"/>
    <n v="502979"/>
    <n v="67050"/>
    <n v="73"/>
    <n v="78665"/>
    <n v="43168"/>
    <n v="13034"/>
    <x v="2"/>
    <n v="162173.5"/>
  </r>
  <r>
    <n v="56"/>
    <s v="Portugal"/>
    <x v="0"/>
    <n v="601630"/>
    <n v="796549"/>
    <n v="81707"/>
    <n v="80"/>
    <n v="88467"/>
    <n v="3490"/>
    <n v="6674"/>
    <x v="2"/>
    <n v="241680.75"/>
  </r>
  <r>
    <n v="57"/>
    <s v="Argentina"/>
    <x v="3"/>
    <n v="596700"/>
    <n v="720403"/>
    <n v="83488"/>
    <n v="76"/>
    <n v="75047"/>
    <n v="17207"/>
    <n v="14472"/>
    <x v="2"/>
    <n v="219734.5"/>
  </r>
  <r>
    <n v="58"/>
    <s v="Greece"/>
    <x v="2"/>
    <n v="594820"/>
    <n v="770827"/>
    <n v="74276"/>
    <n v="80"/>
    <n v="33669"/>
    <n v="3189"/>
    <n v="18461"/>
    <x v="2"/>
    <n v="219693"/>
  </r>
  <r>
    <n v="59"/>
    <s v="South Korea"/>
    <x v="5"/>
    <n v="593510"/>
    <n v="837826"/>
    <n v="67108"/>
    <n v="82"/>
    <n v="55924"/>
    <n v="23723"/>
    <n v="30003"/>
    <x v="2"/>
    <n v="240214.5"/>
  </r>
  <r>
    <n v="60"/>
    <s v="Philippines"/>
    <x v="6"/>
    <n v="590360"/>
    <n v="573773"/>
    <n v="69088"/>
    <n v="72"/>
    <n v="91683"/>
    <n v="22929"/>
    <n v="24142"/>
    <x v="2"/>
    <n v="183636"/>
  </r>
  <r>
    <n v="61"/>
    <s v="Thailand"/>
    <x v="6"/>
    <n v="589120"/>
    <n v="694772"/>
    <n v="83005"/>
    <n v="77"/>
    <n v="83327"/>
    <n v="68600"/>
    <n v="4437"/>
    <x v="2"/>
    <n v="215276"/>
  </r>
  <r>
    <n v="62"/>
    <s v="Moldova"/>
    <x v="4"/>
    <n v="585680"/>
    <n v="641518"/>
    <n v="76404"/>
    <n v="74"/>
    <n v="75835"/>
    <n v="21864"/>
    <n v="4855"/>
    <x v="2"/>
    <n v="198439.25"/>
  </r>
  <r>
    <n v="63"/>
    <s v="Jamaica"/>
    <x v="3"/>
    <n v="584960"/>
    <n v="586501"/>
    <n v="79157"/>
    <n v="76"/>
    <n v="76602"/>
    <n v="17028"/>
    <n v="8977"/>
    <x v="2"/>
    <n v="185565"/>
  </r>
  <r>
    <n v="64"/>
    <s v="Kyrgyzstan"/>
    <x v="7"/>
    <n v="582850"/>
    <n v="483649"/>
    <n v="84056"/>
    <n v="75"/>
    <n v="93652"/>
    <n v="44485"/>
    <n v="4223"/>
    <x v="2"/>
    <n v="165339.25"/>
  </r>
  <r>
    <n v="65"/>
    <s v="Belarus"/>
    <x v="7"/>
    <n v="582150"/>
    <n v="706956"/>
    <n v="87623"/>
    <n v="75"/>
    <n v="46192"/>
    <n v="8452"/>
    <n v="48057"/>
    <x v="2"/>
    <n v="210192.75"/>
  </r>
  <r>
    <n v="66"/>
    <s v="Colombia"/>
    <x v="3"/>
    <n v="578060"/>
    <n v="657073"/>
    <n v="70354"/>
    <n v="78"/>
    <n v="73647"/>
    <n v="18617"/>
    <n v="13074"/>
    <x v="2"/>
    <n v="200268.5"/>
  </r>
  <r>
    <n v="67"/>
    <s v="Bosnia and Herzegovina"/>
    <x v="4"/>
    <n v="576800"/>
    <n v="664551"/>
    <n v="80916"/>
    <n v="76"/>
    <n v="60556"/>
    <n v="52131"/>
    <n v="938"/>
    <x v="2"/>
    <n v="201505.75"/>
  </r>
  <r>
    <n v="68"/>
    <s v="Mongolia"/>
    <x v="5"/>
    <n v="576070"/>
    <n v="630479"/>
    <n v="90722"/>
    <n v="70"/>
    <n v="53758"/>
    <n v="52816"/>
    <n v="10095"/>
    <x v="2"/>
    <n v="193739.75"/>
  </r>
  <r>
    <n v="69"/>
    <s v="Dominican Republic"/>
    <x v="3"/>
    <n v="573720"/>
    <n v="695908"/>
    <n v="75982"/>
    <n v="74"/>
    <n v="81898"/>
    <n v="17961"/>
    <n v="30446"/>
    <x v="2"/>
    <n v="213447"/>
  </r>
  <r>
    <n v="70"/>
    <s v="Malaysia"/>
    <x v="6"/>
    <n v="571130"/>
    <n v="764581"/>
    <n v="71039"/>
    <n v="75"/>
    <n v="88411"/>
    <n v="45554"/>
    <n v="21412"/>
    <x v="2"/>
    <n v="231007.75"/>
  </r>
  <r>
    <n v="71"/>
    <s v="Bolivia"/>
    <x v="3"/>
    <n v="560030"/>
    <n v="568393"/>
    <n v="66661"/>
    <n v="73"/>
    <n v="84706"/>
    <n v="23856"/>
    <n v="10937"/>
    <x v="2"/>
    <n v="179940"/>
  </r>
  <r>
    <n v="72"/>
    <s v="China"/>
    <x v="5"/>
    <n v="558530"/>
    <n v="682742"/>
    <n v="72609"/>
    <n v="77"/>
    <n v="88709"/>
    <n v="21219"/>
    <n v="24242"/>
    <x v="2"/>
    <n v="211015"/>
  </r>
  <r>
    <n v="73"/>
    <s v="Paraguay"/>
    <x v="3"/>
    <n v="557830"/>
    <n v="637543"/>
    <n v="85633"/>
    <n v="75"/>
    <n v="84979"/>
    <n v="36596"/>
    <n v="10116"/>
    <x v="2"/>
    <n v="202038.75"/>
  </r>
  <r>
    <n v="74"/>
    <s v="Peru"/>
    <x v="3"/>
    <n v="555910"/>
    <n v="632524"/>
    <n v="65505"/>
    <n v="78"/>
    <n v="73680"/>
    <n v="19147"/>
    <n v="6305"/>
    <x v="2"/>
    <n v="192927.25"/>
  </r>
  <r>
    <n v="75"/>
    <s v="Montenegro"/>
    <x v="4"/>
    <n v="554680"/>
    <n v="712120"/>
    <n v="77533"/>
    <n v="76"/>
    <n v="62190"/>
    <n v="28808"/>
    <n v="13123"/>
    <x v="2"/>
    <n v="212960.75"/>
  </r>
  <r>
    <n v="76"/>
    <s v="Ecuador"/>
    <x v="3"/>
    <n v="553330"/>
    <n v="611796"/>
    <n v="66607"/>
    <n v="78"/>
    <n v="76310"/>
    <n v="17165"/>
    <n v="14163"/>
    <x v="2"/>
    <n v="188678.25"/>
  </r>
  <r>
    <n v="77"/>
    <s v="Vietnam"/>
    <x v="6"/>
    <n v="548500"/>
    <n v="566806"/>
    <n v="70576"/>
    <n v="75"/>
    <n v="95532"/>
    <n v="30553"/>
    <n v="17950"/>
    <x v="2"/>
    <n v="183228.5"/>
  </r>
  <r>
    <n v="78"/>
    <s v="Turkmenistan"/>
    <x v="7"/>
    <n v="547430"/>
    <n v="671819"/>
    <n v="99927"/>
    <n v="72"/>
    <n v="87696"/>
    <n v="67169"/>
    <n v="5386"/>
    <x v="2"/>
    <n v="214860.5"/>
  </r>
  <r>
    <n v="80"/>
    <s v="Russia"/>
    <x v="7"/>
    <n v="545860"/>
    <n v="762519"/>
    <n v="82975"/>
    <n v="74"/>
    <n v="54241"/>
    <n v="25053"/>
    <n v="13602"/>
    <x v="2"/>
    <n v="224933.75"/>
  </r>
  <r>
    <n v="81"/>
    <s v="Hong Kong S.A.R. of China"/>
    <x v="5"/>
    <n v="542480"/>
    <n v="885912"/>
    <n v="72298"/>
    <n v="85"/>
    <n v="54097"/>
    <n v="31356"/>
    <n v="65224"/>
    <x v="2"/>
    <n v="253076.75"/>
  </r>
  <r>
    <n v="82"/>
    <s v="Armenia"/>
    <x v="7"/>
    <n v="539860"/>
    <n v="649102"/>
    <n v="62118"/>
    <n v="76"/>
    <n v="75348"/>
    <n v="11645"/>
    <n v="35769"/>
    <x v="2"/>
    <n v="196642"/>
  </r>
  <r>
    <n v="83"/>
    <s v="Tajikistan"/>
    <x v="7"/>
    <n v="537710"/>
    <n v="437416"/>
    <n v="76155"/>
    <n v="72"/>
    <n v="77231"/>
    <n v="25127"/>
    <n v="51789"/>
    <x v="2"/>
    <n v="147700.5"/>
  </r>
  <r>
    <n v="84"/>
    <s v="Nepal"/>
    <x v="9"/>
    <n v="537650"/>
    <n v="445594"/>
    <n v="59380"/>
    <n v="71"/>
    <n v="70065"/>
    <n v="50597"/>
    <n v="22120"/>
    <x v="2"/>
    <n v="143759.75"/>
  </r>
  <r>
    <n v="85"/>
    <s v="Bulgaria"/>
    <x v="4"/>
    <n v="537090"/>
    <n v="735471"/>
    <n v="88104"/>
    <n v="76"/>
    <n v="76056"/>
    <n v="26345"/>
    <n v="3616"/>
    <x v="2"/>
    <n v="224907.75"/>
  </r>
  <r>
    <n v="86"/>
    <s v="Libya"/>
    <x v="2"/>
    <n v="533020"/>
    <n v="667955"/>
    <n v="71413"/>
    <n v="74"/>
    <n v="64394"/>
    <n v="22644"/>
    <n v="30577"/>
    <x v="2"/>
    <n v="200940.5"/>
  </r>
  <r>
    <n v="87"/>
    <s v="Indonesia"/>
    <x v="6"/>
    <n v="523960"/>
    <n v="625498"/>
    <n v="66891"/>
    <n v="72"/>
    <n v="83815"/>
    <n v="100000"/>
    <n v="8059"/>
    <x v="2"/>
    <n v="194051"/>
  </r>
  <r>
    <n v="88"/>
    <s v="Ivory Coast"/>
    <x v="8"/>
    <n v="523460"/>
    <n v="495177"/>
    <n v="33518"/>
    <n v="66"/>
    <n v="60954"/>
    <n v="31823"/>
    <n v="21080"/>
    <x v="2"/>
    <n v="147412.25"/>
  </r>
  <r>
    <n v="89"/>
    <s v="North Macedonia"/>
    <x v="4"/>
    <n v="519900"/>
    <n v="681012"/>
    <n v="65355"/>
    <n v="75"/>
    <n v="65875"/>
    <n v="45974"/>
    <n v="5283"/>
    <x v="2"/>
    <n v="203060.5"/>
  </r>
  <r>
    <n v="90"/>
    <s v="Albania"/>
    <x v="4"/>
    <n v="519880"/>
    <n v="651098"/>
    <n v="48923"/>
    <n v="78"/>
    <n v="69039"/>
    <n v="29574"/>
    <n v="4836"/>
    <x v="2"/>
    <n v="192265"/>
  </r>
  <r>
    <n v="91"/>
    <s v="South Africa"/>
    <x v="8"/>
    <n v="519390"/>
    <n v="644950"/>
    <n v="82447"/>
    <n v="67"/>
    <n v="59743"/>
    <n v="18991"/>
    <n v="7846"/>
    <x v="2"/>
    <n v="196785"/>
  </r>
  <r>
    <n v="92"/>
    <s v="Azerbaijan"/>
    <x v="7"/>
    <n v="517340"/>
    <n v="659900"/>
    <n v="82811"/>
    <n v="73"/>
    <n v="81198"/>
    <n v="5007"/>
    <n v="58051"/>
    <x v="2"/>
    <n v="205977.25"/>
  </r>
  <r>
    <n v="93"/>
    <s v="Gambia"/>
    <x v="8"/>
    <n v="516360"/>
    <n v="355224"/>
    <n v="47015"/>
    <n v="67"/>
    <n v="49644"/>
    <n v="82926"/>
    <n v="17472"/>
    <x v="2"/>
    <n v="112970.75"/>
  </r>
  <r>
    <n v="94"/>
    <s v="Bangladesh"/>
    <x v="9"/>
    <n v="515550"/>
    <n v="479885"/>
    <n v="46496"/>
    <n v="74"/>
    <n v="84087"/>
    <n v="26700"/>
    <n v="31816"/>
    <x v="2"/>
    <n v="152617"/>
  </r>
  <r>
    <n v="95"/>
    <s v="Laos"/>
    <x v="5"/>
    <n v="514030"/>
    <n v="560693"/>
    <n v="49568"/>
    <n v="71"/>
    <n v="91760"/>
    <n v="42001"/>
    <n v="31355"/>
    <x v="2"/>
    <n v="175505.25"/>
  </r>
  <r>
    <n v="96"/>
    <s v="Algeria"/>
    <x v="2"/>
    <n v="512230"/>
    <n v="616812"/>
    <n v="73461"/>
    <n v="76"/>
    <n v="19727"/>
    <n v="22752"/>
    <n v="25535"/>
    <x v="2"/>
    <n v="177500"/>
  </r>
  <r>
    <n v="97"/>
    <s v="Liberia"/>
    <x v="8"/>
    <n v="512150"/>
    <n v="287687"/>
    <n v="50761"/>
    <n v="65"/>
    <n v="54778"/>
    <n v="38012"/>
    <n v="13557"/>
    <x v="2"/>
    <n v="98306.5"/>
  </r>
  <r>
    <n v="98"/>
    <s v="Ukraine"/>
    <x v="7"/>
    <n v="508410"/>
    <n v="638770"/>
    <n v="81866"/>
    <n v="74"/>
    <n v="63917"/>
    <n v="40253"/>
    <n v="2865"/>
    <x v="2"/>
    <n v="196138.25"/>
  </r>
  <r>
    <n v="99"/>
    <s v="Congo"/>
    <x v="8"/>
    <n v="507520"/>
    <n v="430155"/>
    <n v="30696"/>
    <n v="67"/>
    <n v="58221"/>
    <n v="27791"/>
    <n v="24819"/>
    <x v="2"/>
    <n v="129768"/>
  </r>
  <r>
    <n v="100"/>
    <s v="Morocco"/>
    <x v="2"/>
    <n v="505990"/>
    <n v="546755"/>
    <n v="20288"/>
    <n v="73"/>
    <n v="66525"/>
    <n v="4310"/>
    <n v="17332"/>
    <x v="2"/>
    <n v="158392"/>
  </r>
  <r>
    <n v="101"/>
    <s v="Mozambique"/>
    <x v="8"/>
    <n v="504830"/>
    <n v="261740"/>
    <n v="49979"/>
    <n v="62"/>
    <n v="80130"/>
    <n v="39563"/>
    <n v="34028"/>
    <x v="2"/>
    <n v="97962.25"/>
  </r>
  <r>
    <n v="102"/>
    <s v="Cameroon"/>
    <x v="8"/>
    <n v="504760"/>
    <n v="438139"/>
    <n v="50890"/>
    <n v="66"/>
    <n v="53663"/>
    <n v="32437"/>
    <n v="12537"/>
    <x v="2"/>
    <n v="135673"/>
  </r>
  <r>
    <n v="103"/>
    <s v="Senegal"/>
    <x v="8"/>
    <n v="504610"/>
    <n v="422160"/>
    <n v="40137"/>
    <n v="70"/>
    <n v="66712"/>
    <n v="30647"/>
    <n v="13746"/>
    <x v="2"/>
    <n v="132252.25"/>
  </r>
  <r>
    <n v="104"/>
    <s v="Niger"/>
    <x v="8"/>
    <n v="500350"/>
    <n v="257932"/>
    <n v="42432"/>
    <n v="66"/>
    <n v="77202"/>
    <n v="35183"/>
    <n v="24677"/>
    <x v="2"/>
    <n v="94391.5"/>
  </r>
  <r>
    <n v="105"/>
    <s v="Georgia"/>
    <x v="7"/>
    <n v="497320"/>
    <n v="664092"/>
    <n v="46345"/>
    <n v="74"/>
    <n v="68636"/>
    <n v="0"/>
    <n v="35489"/>
    <x v="2"/>
    <n v="194768.25"/>
  </r>
  <r>
    <n v="106"/>
    <s v="Gabon"/>
    <x v="8"/>
    <n v="495830"/>
    <n v="660452"/>
    <n v="55890"/>
    <n v="68"/>
    <n v="46375"/>
    <n v="6897"/>
    <n v="16805"/>
    <x v="2"/>
    <n v="190679.25"/>
  </r>
  <r>
    <n v="107"/>
    <s v="Iraq"/>
    <x v="2"/>
    <n v="494090"/>
    <n v="583318"/>
    <n v="51697"/>
    <n v="73"/>
    <n v="44382"/>
    <n v="31357"/>
    <n v="7829"/>
    <x v="2"/>
    <n v="169849.25"/>
  </r>
  <r>
    <n v="108"/>
    <s v="Venezuela"/>
    <x v="3"/>
    <n v="492550"/>
    <n v="0"/>
    <n v="73330"/>
    <n v="74"/>
    <n v="38197"/>
    <n v="48141"/>
    <n v="13911"/>
    <x v="2"/>
    <n v="27881.75"/>
  </r>
  <r>
    <n v="109"/>
    <s v="Guinea"/>
    <x v="8"/>
    <n v="489050"/>
    <n v="383884"/>
    <n v="42911"/>
    <n v="64"/>
    <n v="45107"/>
    <n v="45685"/>
    <n v="19699"/>
    <x v="2"/>
    <n v="117975.5"/>
  </r>
  <r>
    <n v="110"/>
    <s v="Iran"/>
    <x v="2"/>
    <n v="488790"/>
    <n v="638063"/>
    <n v="56114"/>
    <n v="76"/>
    <n v="38018"/>
    <n v="51501"/>
    <n v="24950"/>
    <x v="2"/>
    <n v="183048.75"/>
  </r>
  <r>
    <n v="111"/>
    <s v="Ghana"/>
    <x v="8"/>
    <n v="487200"/>
    <n v="503084"/>
    <n v="45075"/>
    <n v="68"/>
    <n v="67498"/>
    <n v="49054"/>
    <n v="9471"/>
    <x v="2"/>
    <n v="153914.25"/>
  </r>
  <r>
    <n v="112"/>
    <s v="Turkey"/>
    <x v="2"/>
    <n v="474420"/>
    <n v="772532"/>
    <n v="65551"/>
    <n v="77"/>
    <n v="28250"/>
    <n v="18641"/>
    <n v="19590"/>
    <x v="2"/>
    <n v="216583.25"/>
  </r>
  <r>
    <n v="113"/>
    <s v="Burkina Faso"/>
    <x v="8"/>
    <n v="467050"/>
    <n v="352631"/>
    <n v="42800"/>
    <n v="66"/>
    <n v="51635"/>
    <n v="39847"/>
    <n v="21393"/>
    <x v="2"/>
    <n v="111766.5"/>
  </r>
  <r>
    <n v="114"/>
    <s v="Cambodia"/>
    <x v="6"/>
    <n v="464030"/>
    <n v="461278"/>
    <n v="55466"/>
    <n v="71"/>
    <n v="100000"/>
    <n v="35465"/>
    <n v="11574"/>
    <x v="2"/>
    <n v="154186"/>
  </r>
  <r>
    <n v="115"/>
    <s v="Benin"/>
    <x v="8"/>
    <n v="462320"/>
    <n v="421715"/>
    <n v="4829"/>
    <n v="66"/>
    <n v="64703"/>
    <n v="27082"/>
    <n v="39135"/>
    <x v="2"/>
    <n v="122811.75"/>
  </r>
  <r>
    <n v="116"/>
    <s v="Comoros"/>
    <x v="8"/>
    <n v="460860"/>
    <n v="407074"/>
    <n v="36074"/>
    <n v="69"/>
    <n v="25040"/>
    <n v="41567"/>
    <n v="21357"/>
    <x v="2"/>
    <n v="117047"/>
  </r>
  <r>
    <n v="117"/>
    <s v="Uganda"/>
    <x v="8"/>
    <n v="460260"/>
    <n v="351766"/>
    <n v="66312"/>
    <n v="69"/>
    <n v="54361"/>
    <n v="47437"/>
    <n v="11295"/>
    <x v="2"/>
    <n v="118109.75"/>
  </r>
  <r>
    <n v="118"/>
    <s v="Nigeria"/>
    <x v="8"/>
    <n v="455200"/>
    <n v="488582"/>
    <n v="55470"/>
    <n v="65"/>
    <n v="60046"/>
    <n v="37306"/>
    <n v="6395"/>
    <x v="2"/>
    <n v="151024.5"/>
  </r>
  <r>
    <n v="119"/>
    <s v="Kenya"/>
    <x v="8"/>
    <n v="454300"/>
    <n v="466892"/>
    <n v="45842"/>
    <n v="68"/>
    <n v="59452"/>
    <n v="68762"/>
    <n v="13999"/>
    <x v="2"/>
    <n v="143046.5"/>
  </r>
  <r>
    <n v="120"/>
    <s v="Tunisia"/>
    <x v="2"/>
    <n v="451600"/>
    <n v="610961"/>
    <n v="45179"/>
    <n v="76"/>
    <n v="42687"/>
    <n v="6175"/>
    <n v="4965"/>
    <x v="2"/>
    <n v="174706.75"/>
  </r>
  <r>
    <n v="121"/>
    <s v="Pakistan"/>
    <x v="9"/>
    <n v="451580"/>
    <n v="474669"/>
    <n v="31258"/>
    <n v="67"/>
    <n v="60506"/>
    <n v="38691"/>
    <n v="19033"/>
    <x v="2"/>
    <n v="141608.25"/>
  </r>
  <r>
    <n v="122"/>
    <s v="Palestinian Territories"/>
    <x v="2"/>
    <n v="448250"/>
    <n v="519565"/>
    <n v="72522"/>
    <n v="72"/>
    <n v="45454"/>
    <n v="15634"/>
    <n v="13538"/>
    <x v="2"/>
    <n v="159385.25"/>
  </r>
  <r>
    <n v="123"/>
    <s v="Mali"/>
    <x v="8"/>
    <n v="447900"/>
    <n v="358285"/>
    <n v="36603"/>
    <n v="65"/>
    <n v="47266"/>
    <n v="27444"/>
    <n v="7204"/>
    <x v="2"/>
    <n v="110538.5"/>
  </r>
  <r>
    <n v="124"/>
    <s v="Namibia"/>
    <x v="8"/>
    <n v="445940"/>
    <n v="584951"/>
    <n v="66457"/>
    <n v="67"/>
    <n v="51878"/>
    <n v="14257"/>
    <n v="12072"/>
    <x v="2"/>
    <n v="175821.5"/>
  </r>
  <r>
    <n v="125"/>
    <s v="Eswatini"/>
    <x v="8"/>
    <n v="439610"/>
    <n v="576459"/>
    <n v="59569"/>
    <n v="62"/>
    <n v="35032"/>
    <n v="8044"/>
    <n v="26259"/>
    <x v="2"/>
    <n v="167765"/>
  </r>
  <r>
    <n v="126"/>
    <s v="Myanmar"/>
    <x v="6"/>
    <n v="439420"/>
    <n v="470037"/>
    <n v="62808"/>
    <n v="71"/>
    <n v="69315"/>
    <n v="96630"/>
    <n v="33024"/>
    <x v="2"/>
    <n v="150540"/>
  </r>
  <r>
    <n v="127"/>
    <s v="Sri Lanka"/>
    <x v="9"/>
    <n v="436220"/>
    <n v="640665"/>
    <n v="70733"/>
    <n v="76"/>
    <n v="71472"/>
    <n v="31997"/>
    <n v="13388"/>
    <x v="2"/>
    <n v="195717.5"/>
  </r>
  <r>
    <n v="128"/>
    <s v="Madagascar"/>
    <x v="8"/>
    <n v="433910"/>
    <n v="303401"/>
    <n v="48834"/>
    <n v="68"/>
    <n v="27303"/>
    <n v="30553"/>
    <n v="26161"/>
    <x v="2"/>
    <n v="94884.5"/>
  </r>
  <r>
    <n v="129"/>
    <s v="Egypt"/>
    <x v="2"/>
    <n v="428770"/>
    <n v="628287"/>
    <n v="55484"/>
    <n v="73"/>
    <n v="63373"/>
    <n v="8688"/>
    <n v="43349"/>
    <x v="2"/>
    <n v="186786"/>
  </r>
  <r>
    <n v="130"/>
    <s v="Chad"/>
    <x v="8"/>
    <n v="425080"/>
    <n v="299429"/>
    <n v="38358"/>
    <n v="63"/>
    <n v="24362"/>
    <n v="38808"/>
    <n v="13112"/>
    <x v="2"/>
    <n v="90537.25"/>
  </r>
  <r>
    <n v="131"/>
    <s v="Ethiopia"/>
    <x v="8"/>
    <n v="424150"/>
    <n v="356684"/>
    <n v="61291"/>
    <n v="70"/>
    <n v="63841"/>
    <n v="43725"/>
    <n v="23146"/>
    <x v="2"/>
    <n v="120454"/>
  </r>
  <r>
    <n v="132"/>
    <s v="Yemen"/>
    <x v="2"/>
    <n v="419690"/>
    <n v="312954"/>
    <n v="78989"/>
    <n v="68"/>
    <n v="44537"/>
    <n v="19317"/>
    <n v="16680"/>
    <x v="2"/>
    <n v="109120"/>
  </r>
  <r>
    <n v="133"/>
    <s v="Mauritania"/>
    <x v="2"/>
    <n v="415260"/>
    <n v="497958"/>
    <n v="65526"/>
    <n v="70"/>
    <n v="41070"/>
    <n v="18884"/>
    <n v="23596"/>
    <x v="2"/>
    <n v="151138.5"/>
  </r>
  <r>
    <n v="134"/>
    <s v="Jordan"/>
    <x v="2"/>
    <n v="415210"/>
    <n v="599044"/>
    <n v="54861"/>
    <n v="77"/>
    <n v="64298"/>
    <n v="12369"/>
    <n v="34136"/>
    <x v="2"/>
    <n v="179550.75"/>
  </r>
  <r>
    <n v="135"/>
    <s v="Togo"/>
    <x v="8"/>
    <n v="411230"/>
    <n v="349012"/>
    <n v="24358"/>
    <n v="67"/>
    <n v="39427"/>
    <n v="37273"/>
    <n v="22565"/>
    <x v="2"/>
    <n v="103199.25"/>
  </r>
  <r>
    <n v="136"/>
    <s v="India"/>
    <x v="9"/>
    <n v="377710"/>
    <n v="528205"/>
    <n v="28451"/>
    <n v="70"/>
    <n v="87446"/>
    <n v="42292"/>
    <n v="21014"/>
    <x v="2"/>
    <n v="161025.5"/>
  </r>
  <r>
    <n v="137"/>
    <s v="Zambia"/>
    <x v="8"/>
    <n v="375980"/>
    <n v="421012"/>
    <n v="43733"/>
    <n v="65"/>
    <n v="70982"/>
    <n v="43336"/>
    <n v="14128"/>
    <x v="2"/>
    <n v="133931.75"/>
  </r>
  <r>
    <n v="138"/>
    <s v="Malawi"/>
    <x v="8"/>
    <n v="375040"/>
    <n v="293212"/>
    <n v="21160"/>
    <n v="68"/>
    <n v="64448"/>
    <n v="29961"/>
    <n v="26761"/>
    <x v="2"/>
    <n v="94705"/>
  </r>
  <r>
    <n v="139"/>
    <s v="Tanzania"/>
    <x v="8"/>
    <n v="370240"/>
    <n v="384022"/>
    <n v="45232"/>
    <n v="69"/>
    <n v="78075"/>
    <n v="53076"/>
    <n v="46087"/>
    <x v="2"/>
    <n v="126832.25"/>
  </r>
  <r>
    <n v="140"/>
    <s v="Sierra Leone"/>
    <x v="8"/>
    <n v="357400"/>
    <n v="310358"/>
    <n v="31521"/>
    <n v="64"/>
    <n v="52298"/>
    <n v="43229"/>
    <n v="9287"/>
    <x v="2"/>
    <n v="98544.25"/>
  </r>
  <r>
    <n v="141"/>
    <s v="Lesotho"/>
    <x v="8"/>
    <n v="351180"/>
    <n v="379591"/>
    <n v="64243"/>
    <n v="56"/>
    <n v="56585"/>
    <n v="16256"/>
    <n v="3136"/>
    <x v="2"/>
    <n v="125104.75"/>
  </r>
  <r>
    <n v="142"/>
    <s v="Botswana"/>
    <x v="8"/>
    <n v="347110"/>
    <n v="680091"/>
    <n v="61782"/>
    <n v="65"/>
    <n v="77206"/>
    <n v="2663"/>
    <n v="17380"/>
    <x v="2"/>
    <n v="204769.75"/>
  </r>
  <r>
    <n v="143"/>
    <s v="Rwanda"/>
    <x v="8"/>
    <n v="326820"/>
    <n v="355415"/>
    <n v="10054"/>
    <n v="70"/>
    <n v="83979"/>
    <n v="39891"/>
    <n v="92742"/>
    <x v="2"/>
    <n v="112362"/>
  </r>
  <r>
    <n v="144"/>
    <s v="Zimbabwe"/>
    <x v="8"/>
    <n v="299510"/>
    <n v="428445"/>
    <n v="52311"/>
    <n v="64"/>
    <n v="44485"/>
    <n v="22710"/>
    <n v="17883"/>
    <x v="2"/>
    <n v="131310.25"/>
  </r>
  <r>
    <n v="145"/>
    <s v="Lebanon"/>
    <x v="2"/>
    <n v="295530"/>
    <n v="630068"/>
    <n v="37730"/>
    <n v="75"/>
    <n v="13891"/>
    <n v="17565"/>
    <n v="5753"/>
    <x v="2"/>
    <n v="170422.25"/>
  </r>
  <r>
    <n v="146"/>
    <s v="Afghanistan"/>
    <x v="9"/>
    <n v="240380"/>
    <n v="343077"/>
    <n v="0"/>
    <n v="65"/>
    <n v="0"/>
    <n v="18993"/>
    <n v="832"/>
    <x v="2"/>
    <n v="85769.25"/>
  </r>
  <r>
    <n v="1"/>
    <s v="Finland"/>
    <x v="0"/>
    <n v="780420"/>
    <n v="858486"/>
    <n v="97853"/>
    <n v="71"/>
    <n v="100000"/>
    <n v="29969"/>
    <n v="4551"/>
    <x v="3"/>
    <n v="264084.75"/>
  </r>
  <r>
    <n v="2"/>
    <s v="Denmark"/>
    <x v="0"/>
    <n v="758640"/>
    <n v="886229"/>
    <n v="95567"/>
    <n v="71"/>
    <n v="95192"/>
    <n v="49451"/>
    <n v="6348"/>
    <x v="3"/>
    <n v="269247"/>
  </r>
  <r>
    <n v="3"/>
    <s v="Iceland"/>
    <x v="0"/>
    <n v="752960"/>
    <n v="875364"/>
    <n v="100000"/>
    <n v="72"/>
    <n v="95678"/>
    <n v="59219"/>
    <n v="66635"/>
    <x v="3"/>
    <n v="267760.5"/>
  </r>
  <r>
    <n v="4"/>
    <s v="Israel"/>
    <x v="2"/>
    <n v="747290"/>
    <n v="833490"/>
    <n v="93888"/>
    <n v="73"/>
    <n v="73689"/>
    <n v="29427"/>
    <n v="71775"/>
    <x v="3"/>
    <n v="250266.75"/>
  </r>
  <r>
    <n v="5"/>
    <s v="Netherlands"/>
    <x v="0"/>
    <n v="740300"/>
    <n v="882986"/>
    <n v="91885"/>
    <n v="72"/>
    <n v="87144"/>
    <n v="59435"/>
    <n v="29735"/>
    <x v="3"/>
    <n v="265503.75"/>
  </r>
  <r>
    <n v="6"/>
    <s v="Sweden"/>
    <x v="0"/>
    <n v="739520"/>
    <n v="873292"/>
    <n v="93249"/>
    <n v="72"/>
    <n v="97682"/>
    <n v="53339"/>
    <n v="7195"/>
    <x v="3"/>
    <n v="266055.75"/>
  </r>
  <r>
    <n v="7"/>
    <s v="Norway"/>
    <x v="0"/>
    <n v="731550"/>
    <n v="906702"/>
    <n v="93909"/>
    <n v="72"/>
    <n v="97449"/>
    <n v="50265"/>
    <n v="17450"/>
    <x v="3"/>
    <n v="274515"/>
  </r>
  <r>
    <n v="8"/>
    <s v="Switzerland"/>
    <x v="0"/>
    <n v="724010"/>
    <n v="919142"/>
    <n v="90316"/>
    <n v="73"/>
    <n v="87869"/>
    <n v="35761"/>
    <n v="15356"/>
    <x v="3"/>
    <n v="274331.75"/>
  </r>
  <r>
    <n v="9"/>
    <s v="Luxembourg"/>
    <x v="0"/>
    <n v="722790"/>
    <n v="1000000"/>
    <n v="83775"/>
    <n v="72"/>
    <n v="91985"/>
    <n v="35413"/>
    <n v="25399"/>
    <x v="3"/>
    <n v="293940"/>
  </r>
  <r>
    <n v="10"/>
    <s v="New Zealand"/>
    <x v="1"/>
    <n v="712290"/>
    <n v="837266"/>
    <n v="95300"/>
    <n v="70"/>
    <n v="87092"/>
    <n v="54617"/>
    <n v="15977"/>
    <x v="3"/>
    <n v="254914.5"/>
  </r>
  <r>
    <n v="11"/>
    <s v="Austria"/>
    <x v="0"/>
    <n v="709730"/>
    <n v="875915"/>
    <n v="85325"/>
    <n v="71"/>
    <n v="81601"/>
    <n v="45297"/>
    <n v="44786"/>
    <x v="3"/>
    <n v="260710.25"/>
  </r>
  <r>
    <n v="12"/>
    <s v="Australia"/>
    <x v="1"/>
    <n v="709460"/>
    <n v="863220"/>
    <n v="92411"/>
    <n v="71"/>
    <n v="87718"/>
    <n v="57510"/>
    <n v="44676"/>
    <x v="3"/>
    <n v="260837.25"/>
  </r>
  <r>
    <n v="13"/>
    <s v="Canada"/>
    <x v="1"/>
    <n v="696070"/>
    <n v="855330"/>
    <n v="91619"/>
    <n v="71"/>
    <n v="85004"/>
    <n v="51781"/>
    <n v="35007"/>
    <x v="3"/>
    <n v="257988.25"/>
  </r>
  <r>
    <n v="14"/>
    <s v="Ireland"/>
    <x v="0"/>
    <n v="691080"/>
    <n v="978382"/>
    <n v="87965"/>
    <n v="71"/>
    <n v="84989"/>
    <n v="44031"/>
    <n v="27056"/>
    <x v="3"/>
    <n v="287834"/>
  </r>
  <r>
    <n v="15"/>
    <s v="United States"/>
    <x v="1"/>
    <n v="689370"/>
    <n v="900265"/>
    <n v="90117"/>
    <n v="66"/>
    <n v="72244"/>
    <n v="49739"/>
    <n v="69285"/>
    <x v="3"/>
    <n v="265656.5"/>
  </r>
  <r>
    <n v="16"/>
    <s v="Germany"/>
    <x v="0"/>
    <n v="689180"/>
    <n v="872605"/>
    <n v="86497"/>
    <n v="71"/>
    <n v="80068"/>
    <n v="36188"/>
    <n v="34925"/>
    <x v="3"/>
    <n v="259792.5"/>
  </r>
  <r>
    <n v="17"/>
    <s v="Belgium"/>
    <x v="0"/>
    <n v="685910"/>
    <n v="866895"/>
    <n v="89447"/>
    <n v="71"/>
    <n v="76511"/>
    <n v="32545"/>
    <n v="51401"/>
    <x v="3"/>
    <n v="258213.25"/>
  </r>
  <r>
    <n v="18"/>
    <s v="Czechia"/>
    <x v="4"/>
    <n v="684520"/>
    <n v="828976"/>
    <n v="95328"/>
    <n v="69"/>
    <n v="89842"/>
    <n v="37426"/>
    <n v="91042"/>
    <x v="3"/>
    <n v="253536.5"/>
  </r>
  <r>
    <n v="19"/>
    <s v="United Kingdom"/>
    <x v="0"/>
    <n v="679560"/>
    <n v="844176"/>
    <n v="84353"/>
    <n v="70"/>
    <n v="81162"/>
    <n v="64606"/>
    <n v="39333"/>
    <x v="3"/>
    <n v="252422.75"/>
  </r>
  <r>
    <n v="20"/>
    <s v="Lithuania"/>
    <x v="0"/>
    <n v="676300"/>
    <n v="821935"/>
    <n v="93265"/>
    <n v="67"/>
    <n v="63165"/>
    <n v="13882"/>
    <n v="84163"/>
    <x v="3"/>
    <n v="244591.25"/>
  </r>
  <r>
    <n v="21"/>
    <s v="France"/>
    <x v="0"/>
    <n v="666130"/>
    <n v="843604"/>
    <n v="88501"/>
    <n v="72"/>
    <n v="75391"/>
    <n v="19600"/>
    <n v="51918"/>
    <x v="3"/>
    <n v="251874"/>
  </r>
  <r>
    <n v="22"/>
    <s v="Slovenia"/>
    <x v="4"/>
    <n v="664990"/>
    <n v="825270"/>
    <n v="95008"/>
    <n v="71"/>
    <n v="91699"/>
    <n v="34197"/>
    <n v="79841"/>
    <x v="3"/>
    <n v="252994.25"/>
  </r>
  <r>
    <n v="23"/>
    <s v="Costa Rica"/>
    <x v="3"/>
    <n v="660850"/>
    <n v="721454"/>
    <n v="82705"/>
    <n v="70"/>
    <n v="88549"/>
    <n v="23480"/>
    <n v="79402"/>
    <x v="3"/>
    <n v="223177"/>
  </r>
  <r>
    <n v="24"/>
    <s v="Romania"/>
    <x v="4"/>
    <n v="658910"/>
    <n v="784633"/>
    <n v="79012"/>
    <n v="67"/>
    <n v="81787"/>
    <n v="10504"/>
    <n v="100000"/>
    <x v="3"/>
    <n v="236358"/>
  </r>
  <r>
    <n v="25"/>
    <s v="Singapore"/>
    <x v="6"/>
    <n v="658670"/>
    <n v="985578"/>
    <n v="83625"/>
    <n v="74"/>
    <n v="85557"/>
    <n v="40350"/>
    <n v="100000"/>
    <x v="3"/>
    <n v="288690"/>
  </r>
  <r>
    <n v="26"/>
    <s v="United Arab Emirates"/>
    <x v="2"/>
    <n v="657120"/>
    <n v="916068"/>
    <n v="75511"/>
    <n v="66"/>
    <n v="96615"/>
    <n v="44544"/>
    <n v="55900"/>
    <x v="3"/>
    <n v="272048.5"/>
  </r>
  <r>
    <n v="27"/>
    <s v="Taiwan Province of China"/>
    <x v="5"/>
    <n v="653540"/>
    <n v="859374"/>
    <n v="84699"/>
    <n v="70"/>
    <n v="72836"/>
    <n v="15951"/>
    <n v="68312"/>
    <x v="3"/>
    <n v="254227.25"/>
  </r>
  <r>
    <n v="28"/>
    <s v="Uruguay"/>
    <x v="3"/>
    <n v="649390"/>
    <n v="735304"/>
    <n v="89188"/>
    <n v="68"/>
    <n v="88580"/>
    <n v="24140"/>
    <n v="54723"/>
    <x v="3"/>
    <n v="228268"/>
  </r>
  <r>
    <n v="29"/>
    <s v="Slovakia"/>
    <x v="4"/>
    <n v="646860"/>
    <n v="786977"/>
    <n v="95326"/>
    <n v="69"/>
    <n v="64092"/>
    <n v="30272"/>
    <n v="96008"/>
    <x v="3"/>
    <n v="236598.75"/>
  </r>
  <r>
    <n v="30"/>
    <s v="Saudi Arabia"/>
    <x v="2"/>
    <n v="646260"/>
    <n v="846003"/>
    <n v="84612"/>
    <n v="64"/>
    <n v="88341"/>
    <n v="22099"/>
    <n v="69631"/>
    <x v="3"/>
    <n v="254739"/>
  </r>
  <r>
    <n v="31"/>
    <s v="Estonia"/>
    <x v="0"/>
    <n v="645520"/>
    <n v="817615"/>
    <n v="94244"/>
    <n v="70"/>
    <n v="94374"/>
    <n v="36408"/>
    <n v="33635"/>
    <x v="3"/>
    <n v="251558.25"/>
  </r>
  <r>
    <n v="32"/>
    <s v="Spain"/>
    <x v="0"/>
    <n v="643620"/>
    <n v="817445"/>
    <n v="92078"/>
    <n v="72"/>
    <n v="69075"/>
    <n v="23973"/>
    <n v="72085"/>
    <x v="3"/>
    <n v="244649.5"/>
  </r>
  <r>
    <n v="33"/>
    <s v="Italy"/>
    <x v="0"/>
    <n v="640450"/>
    <n v="832731"/>
    <n v="84254"/>
    <n v="72"/>
    <n v="56725"/>
    <n v="23004"/>
    <n v="88846"/>
    <x v="3"/>
    <n v="243427.5"/>
  </r>
  <r>
    <n v="34"/>
    <s v="Kosovo"/>
    <x v="4"/>
    <n v="636760"/>
    <n v="624855"/>
    <n v="78362"/>
    <n v="65"/>
    <n v="82763"/>
    <n v="65294"/>
    <n v="91958"/>
    <x v="3"/>
    <n v="196495"/>
  </r>
  <r>
    <n v="35"/>
    <s v="Chile"/>
    <x v="3"/>
    <n v="633380"/>
    <n v="747934"/>
    <n v="85433"/>
    <n v="70"/>
    <n v="70825"/>
    <n v="30961"/>
    <n v="86419"/>
    <x v="3"/>
    <n v="226048"/>
  </r>
  <r>
    <n v="36"/>
    <s v="Mexico"/>
    <x v="3"/>
    <n v="632950"/>
    <n v="704829"/>
    <n v="72157"/>
    <n v="66"/>
    <n v="81857"/>
    <n v="20456"/>
    <n v="79471"/>
    <x v="3"/>
    <n v="214710.75"/>
  </r>
  <r>
    <n v="37"/>
    <s v="Malta"/>
    <x v="0"/>
    <n v="629990"/>
    <n v="837103"/>
    <n v="90665"/>
    <n v="72"/>
    <n v="86931"/>
    <n v="47551"/>
    <n v="74428"/>
    <x v="3"/>
    <n v="253674.75"/>
  </r>
  <r>
    <n v="38"/>
    <s v="Panama"/>
    <x v="3"/>
    <n v="626450"/>
    <n v="779090"/>
    <n v="86551"/>
    <n v="69"/>
    <n v="81663"/>
    <n v="15386"/>
    <n v="93513"/>
    <x v="3"/>
    <n v="236826"/>
  </r>
  <r>
    <n v="39"/>
    <s v="Poland"/>
    <x v="4"/>
    <n v="625970"/>
    <n v="803202"/>
    <n v="91036"/>
    <n v="69"/>
    <n v="66208"/>
    <n v="28425"/>
    <n v="75284"/>
    <x v="3"/>
    <n v="240111.5"/>
  </r>
  <r>
    <n v="40"/>
    <s v="Nicaragua"/>
    <x v="3"/>
    <n v="625880"/>
    <n v="503970"/>
    <n v="79769"/>
    <n v="66"/>
    <n v="85515"/>
    <n v="35029"/>
    <n v="61164"/>
    <x v="3"/>
    <n v="167313.5"/>
  </r>
  <r>
    <n v="41"/>
    <s v="Latvia"/>
    <x v="0"/>
    <n v="621270"/>
    <n v="789731"/>
    <n v="92919"/>
    <n v="66"/>
    <n v="75197"/>
    <n v="25290"/>
    <n v="87377"/>
    <x v="3"/>
    <n v="239461.75"/>
  </r>
  <r>
    <n v="42"/>
    <s v="Bahrain"/>
    <x v="2"/>
    <n v="617320"/>
    <n v="855840"/>
    <n v="78370"/>
    <n v="66"/>
    <n v="96993"/>
    <n v="47260"/>
    <n v="75428"/>
    <x v="3"/>
    <n v="257800.75"/>
  </r>
  <r>
    <n v="43"/>
    <s v="Guatemala"/>
    <x v="3"/>
    <n v="615030"/>
    <n v="585171"/>
    <n v="73362"/>
    <n v="63"/>
    <n v="81813"/>
    <n v="25076"/>
    <n v="88184"/>
    <x v="3"/>
    <n v="185086.5"/>
  </r>
  <r>
    <n v="44"/>
    <s v="Kazakhstan"/>
    <x v="7"/>
    <n v="614390"/>
    <n v="756428"/>
    <n v="92033"/>
    <n v="66"/>
    <n v="81342"/>
    <n v="32303"/>
    <n v="73482"/>
    <x v="3"/>
    <n v="232450.75"/>
  </r>
  <r>
    <n v="45"/>
    <s v="Serbia"/>
    <x v="4"/>
    <n v="614360"/>
    <n v="705543"/>
    <n v="82925"/>
    <n v="67"/>
    <n v="79928"/>
    <n v="58329"/>
    <n v="85611"/>
    <x v="3"/>
    <n v="217099"/>
  </r>
  <r>
    <n v="46"/>
    <s v="Cyprus"/>
    <x v="8"/>
    <n v="613000"/>
    <n v="829006"/>
    <n v="75600"/>
    <n v="73"/>
    <n v="59029"/>
    <n v="24724"/>
    <n v="91149"/>
    <x v="3"/>
    <n v="240908.75"/>
  </r>
  <r>
    <n v="47"/>
    <s v="Japan"/>
    <x v="5"/>
    <n v="612900"/>
    <n v="829732"/>
    <n v="86211"/>
    <n v="74"/>
    <n v="72073"/>
    <n v="2207"/>
    <n v="63067"/>
    <x v="3"/>
    <n v="247004"/>
  </r>
  <r>
    <n v="48"/>
    <s v="Croatia"/>
    <x v="4"/>
    <n v="612500"/>
    <n v="784908"/>
    <n v="89808"/>
    <n v="69"/>
    <n v="64764"/>
    <n v="20572"/>
    <n v="99514"/>
    <x v="3"/>
    <n v="234870"/>
  </r>
  <r>
    <n v="49"/>
    <s v="Brazil"/>
    <x v="3"/>
    <n v="612460"/>
    <n v="661229"/>
    <n v="77190"/>
    <n v="66"/>
    <n v="72389"/>
    <n v="31172"/>
    <n v="75554"/>
    <x v="3"/>
    <n v="202702"/>
  </r>
  <r>
    <n v="50"/>
    <s v="El Salvador"/>
    <x v="3"/>
    <n v="612160"/>
    <n v="580835"/>
    <n v="64474"/>
    <n v="66"/>
    <n v="92432"/>
    <n v="18630"/>
    <n v="60474"/>
    <x v="3"/>
    <n v="184435.25"/>
  </r>
  <r>
    <n v="51"/>
    <s v="Hungary"/>
    <x v="4"/>
    <n v="604120"/>
    <n v="797616"/>
    <n v="93778"/>
    <n v="68"/>
    <n v="64884"/>
    <n v="24833"/>
    <n v="88476"/>
    <x v="3"/>
    <n v="239069.5"/>
  </r>
  <r>
    <n v="52"/>
    <s v="Argentina"/>
    <x v="3"/>
    <n v="602370"/>
    <n v="722632"/>
    <n v="85707"/>
    <n v="67"/>
    <n v="76071"/>
    <n v="20975"/>
    <n v="85303"/>
    <x v="3"/>
    <n v="221102.5"/>
  </r>
  <r>
    <n v="53"/>
    <s v="Honduras"/>
    <x v="3"/>
    <n v="602250"/>
    <n v="506831"/>
    <n v="66162"/>
    <n v="64"/>
    <n v="79509"/>
    <n v="44756"/>
    <n v="88992"/>
    <x v="3"/>
    <n v="163125.5"/>
  </r>
  <r>
    <n v="54"/>
    <s v="Uzbekistan"/>
    <x v="7"/>
    <n v="601430"/>
    <n v="557893"/>
    <n v="83191"/>
    <n v="65"/>
    <n v="95948"/>
    <n v="61580"/>
    <n v="62845"/>
    <x v="3"/>
    <n v="184258"/>
  </r>
  <r>
    <n v="55"/>
    <s v="Malaysia"/>
    <x v="6"/>
    <n v="601230"/>
    <n v="756920"/>
    <n v="71315"/>
    <n v="66"/>
    <n v="85394"/>
    <n v="52677"/>
    <n v="78209"/>
    <x v="3"/>
    <n v="228407.25"/>
  </r>
  <r>
    <n v="56"/>
    <s v="Portugal"/>
    <x v="0"/>
    <n v="596800"/>
    <n v="799242"/>
    <n v="83693"/>
    <n v="71"/>
    <n v="89828"/>
    <n v="7408"/>
    <n v="93485"/>
    <x v="3"/>
    <n v="243190.75"/>
  </r>
  <r>
    <n v="57"/>
    <s v="South Korea"/>
    <x v="5"/>
    <n v="595110"/>
    <n v="842289"/>
    <n v="73343"/>
    <n v="74"/>
    <n v="57814"/>
    <n v="26482"/>
    <n v="70892"/>
    <x v="3"/>
    <n v="243361.5"/>
  </r>
  <r>
    <n v="58"/>
    <s v="Greece"/>
    <x v="2"/>
    <n v="593090"/>
    <n v="776334"/>
    <n v="76983"/>
    <n v="71"/>
    <n v="32130"/>
    <n v="1872"/>
    <n v="82647"/>
    <x v="3"/>
    <n v="221361.75"/>
  </r>
  <r>
    <n v="59"/>
    <s v="Mauritius"/>
    <x v="8"/>
    <n v="590230"/>
    <n v="722373"/>
    <n v="85309"/>
    <n v="64"/>
    <n v="74392"/>
    <n v="28772"/>
    <n v="80308"/>
    <x v="3"/>
    <n v="220518.5"/>
  </r>
  <r>
    <n v="60"/>
    <s v="Thailand"/>
    <x v="6"/>
    <n v="584300"/>
    <n v="688830"/>
    <n v="82996"/>
    <n v="68"/>
    <n v="80842"/>
    <n v="69105"/>
    <n v="97612"/>
    <x v="3"/>
    <n v="213167"/>
  </r>
  <r>
    <n v="61"/>
    <s v="Mongolia"/>
    <x v="5"/>
    <n v="584020"/>
    <n v="627027"/>
    <n v="92248"/>
    <n v="60"/>
    <n v="55112"/>
    <n v="56607"/>
    <n v="89736"/>
    <x v="3"/>
    <n v="193596.75"/>
  </r>
  <r>
    <n v="62"/>
    <s v="Kyrgyzstan"/>
    <x v="7"/>
    <n v="582530"/>
    <n v="482472"/>
    <n v="88867"/>
    <n v="67"/>
    <n v="95323"/>
    <n v="55447"/>
    <n v="96769"/>
    <x v="3"/>
    <n v="166665.5"/>
  </r>
  <r>
    <n v="63"/>
    <s v="Moldova"/>
    <x v="4"/>
    <n v="581920"/>
    <n v="647629"/>
    <n v="80365"/>
    <n v="65"/>
    <n v="79010"/>
    <n v="22171"/>
    <n v="96394"/>
    <x v="3"/>
    <n v="201751"/>
  </r>
  <r>
    <n v="64"/>
    <s v="China"/>
    <x v="5"/>
    <n v="581790"/>
    <n v="686644"/>
    <n v="77100"/>
    <n v="69"/>
    <n v="86285"/>
    <n v="27174"/>
    <n v="74219"/>
    <x v="3"/>
    <n v="212507.25"/>
  </r>
  <r>
    <n v="65"/>
    <s v="Vietnam"/>
    <x v="6"/>
    <n v="576330"/>
    <n v="613089"/>
    <n v="74830"/>
    <n v="66"/>
    <n v="96073"/>
    <n v="31901"/>
    <n v="78257"/>
    <x v="3"/>
    <n v="195998"/>
  </r>
  <r>
    <n v="66"/>
    <s v="Paraguay"/>
    <x v="3"/>
    <n v="573780"/>
    <n v="649413"/>
    <n v="88074"/>
    <n v="66"/>
    <n v="87829"/>
    <n v="35005"/>
    <n v="88953"/>
    <x v="3"/>
    <n v="206329"/>
  </r>
  <r>
    <n v="67"/>
    <s v="Montenegro"/>
    <x v="4"/>
    <n v="572220"/>
    <n v="698795"/>
    <n v="85507"/>
    <n v="67"/>
    <n v="73022"/>
    <n v="40445"/>
    <n v="89189"/>
    <x v="3"/>
    <n v="214331"/>
  </r>
  <r>
    <n v="68"/>
    <s v="Jamaica"/>
    <x v="3"/>
    <n v="570270"/>
    <n v="593143"/>
    <n v="82031"/>
    <n v="67"/>
    <n v="76020"/>
    <n v="18840"/>
    <n v="93100"/>
    <x v="3"/>
    <n v="187798.5"/>
  </r>
  <r>
    <n v="69"/>
    <s v="Bolivia"/>
    <x v="3"/>
    <n v="568430"/>
    <n v="563795"/>
    <n v="73301"/>
    <n v="64"/>
    <n v="83951"/>
    <n v="24382"/>
    <n v="89362"/>
    <x v="3"/>
    <n v="180261.75"/>
  </r>
  <r>
    <n v="70"/>
    <s v="Russia"/>
    <x v="7"/>
    <n v="566070"/>
    <n v="763550"/>
    <n v="85360"/>
    <n v="65"/>
    <n v="58253"/>
    <n v="28501"/>
    <n v="83694"/>
    <x v="3"/>
    <n v="226790.75"/>
  </r>
  <r>
    <n v="71"/>
    <s v="Bosnia and Herzegovina"/>
    <x v="4"/>
    <n v="563250"/>
    <n v="666703"/>
    <n v="84056"/>
    <n v="67"/>
    <n v="62870"/>
    <n v="58636"/>
    <n v="98525"/>
    <x v="3"/>
    <n v="203407.25"/>
  </r>
  <r>
    <n v="72"/>
    <s v="Colombia"/>
    <x v="3"/>
    <n v="563040"/>
    <n v="661594"/>
    <n v="74912"/>
    <n v="69"/>
    <n v="72895"/>
    <n v="19087"/>
    <n v="87797"/>
    <x v="3"/>
    <n v="202350.25"/>
  </r>
  <r>
    <n v="73"/>
    <s v="Dominican Republic"/>
    <x v="3"/>
    <n v="556890"/>
    <n v="698469"/>
    <n v="75753"/>
    <n v="64"/>
    <n v="80788"/>
    <n v="19790"/>
    <n v="65223"/>
    <x v="3"/>
    <n v="213752.5"/>
  </r>
  <r>
    <n v="74"/>
    <s v="Ecuador"/>
    <x v="3"/>
    <n v="555890"/>
    <n v="610362"/>
    <n v="72430"/>
    <n v="69"/>
    <n v="72544"/>
    <n v="18660"/>
    <n v="87672"/>
    <x v="3"/>
    <n v="188834"/>
  </r>
  <r>
    <n v="75"/>
    <s v="Peru"/>
    <x v="3"/>
    <n v="552590"/>
    <n v="631771"/>
    <n v="71215"/>
    <n v="70"/>
    <n v="71189"/>
    <n v="17237"/>
    <n v="95226"/>
    <x v="3"/>
    <n v="193543.75"/>
  </r>
  <r>
    <n v="76"/>
    <s v="Philippines"/>
    <x v="6"/>
    <n v="552290"/>
    <n v="562837"/>
    <n v="68402"/>
    <n v="62"/>
    <n v="92607"/>
    <n v="24742"/>
    <n v="74840"/>
    <x v="3"/>
    <n v="180961.5"/>
  </r>
  <r>
    <n v="77"/>
    <s v="Bulgaria"/>
    <x v="4"/>
    <n v="546610"/>
    <n v="743485"/>
    <n v="89974"/>
    <n v="66"/>
    <n v="72252"/>
    <n v="25132"/>
    <n v="97687"/>
    <x v="3"/>
    <n v="226427.75"/>
  </r>
  <r>
    <n v="78"/>
    <s v="Nepal"/>
    <x v="9"/>
    <n v="536030"/>
    <n v="445000"/>
    <n v="63400"/>
    <n v="62"/>
    <n v="73531"/>
    <n v="50939"/>
    <n v="81390"/>
    <x v="3"/>
    <n v="145482.75"/>
  </r>
  <r>
    <n v="79"/>
    <s v="Armenia"/>
    <x v="7"/>
    <n v="534170"/>
    <n v="666532"/>
    <n v="70009"/>
    <n v="68"/>
    <n v="71402"/>
    <n v="12596"/>
    <n v="71435"/>
    <x v="3"/>
    <n v="201985.75"/>
  </r>
  <r>
    <n v="80"/>
    <s v="Tajikistan"/>
    <x v="7"/>
    <n v="532980"/>
    <n v="441825"/>
    <n v="77080"/>
    <n v="62"/>
    <n v="77680"/>
    <n v="24758"/>
    <n v="47954"/>
    <x v="3"/>
    <n v="149146.25"/>
  </r>
  <r>
    <n v="81"/>
    <s v="Algeria"/>
    <x v="2"/>
    <n v="532910"/>
    <n v="615254"/>
    <n v="80144"/>
    <n v="67"/>
    <n v="32703"/>
    <n v="17425"/>
    <n v="72900"/>
    <x v="3"/>
    <n v="182025.25"/>
  </r>
  <r>
    <n v="82"/>
    <s v="Hong Kong S.A.R. of China"/>
    <x v="5"/>
    <n v="530850"/>
    <n v="886926"/>
    <n v="74172"/>
    <n v="77"/>
    <n v="52727"/>
    <n v="29069"/>
    <n v="30460"/>
    <x v="3"/>
    <n v="253456.25"/>
  </r>
  <r>
    <n v="83"/>
    <s v="Albania"/>
    <x v="4"/>
    <n v="527730"/>
    <n v="658829"/>
    <n v="58729"/>
    <n v="69"/>
    <n v="71181"/>
    <n v="31482"/>
    <n v="93487"/>
    <x v="3"/>
    <n v="197184.75"/>
  </r>
  <r>
    <n v="84"/>
    <s v="Indonesia"/>
    <x v="6"/>
    <n v="527690"/>
    <n v="629103"/>
    <n v="72154"/>
    <n v="63"/>
    <n v="85978"/>
    <n v="100000"/>
    <n v="93218"/>
    <x v="3"/>
    <n v="196808.75"/>
  </r>
  <r>
    <n v="85"/>
    <s v="South Africa"/>
    <x v="8"/>
    <n v="527460"/>
    <n v="644165"/>
    <n v="88162"/>
    <n v="57"/>
    <n v="60099"/>
    <n v="21338"/>
    <n v="96558"/>
    <x v="3"/>
    <n v="198106.5"/>
  </r>
  <r>
    <n v="86"/>
    <s v="Congo (Brazzaville)"/>
    <x v="8"/>
    <n v="526710"/>
    <n v="418781"/>
    <n v="41059"/>
    <n v="57"/>
    <n v="60093"/>
    <n v="31812"/>
    <n v="75746"/>
    <x v="3"/>
    <n v="129983.25"/>
  </r>
  <r>
    <n v="87"/>
    <s v="North Macedonia"/>
    <x v="4"/>
    <n v="525360"/>
    <n v="680954"/>
    <n v="72273"/>
    <n v="67"/>
    <n v="66807"/>
    <n v="49069"/>
    <n v="96504"/>
    <x v="3"/>
    <n v="205008.5"/>
  </r>
  <r>
    <n v="88"/>
    <s v="Venezuela"/>
    <x v="3"/>
    <n v="521060"/>
    <n v="0"/>
    <n v="77587"/>
    <n v="64"/>
    <n v="47789"/>
    <n v="48704"/>
    <n v="84973"/>
    <x v="3"/>
    <n v="31344"/>
  </r>
  <r>
    <n v="89"/>
    <s v="Laos"/>
    <x v="5"/>
    <n v="511070"/>
    <n v="560176"/>
    <n v="52653"/>
    <n v="61"/>
    <n v="92660"/>
    <n v="43946"/>
    <n v="71063"/>
    <x v="3"/>
    <n v="176372.25"/>
  </r>
  <r>
    <n v="90"/>
    <s v="Georgia"/>
    <x v="7"/>
    <n v="510910"/>
    <n v="671676"/>
    <n v="58458"/>
    <n v="65"/>
    <n v="69826"/>
    <n v="0"/>
    <n v="64214"/>
    <x v="3"/>
    <n v="199990"/>
  </r>
  <r>
    <n v="91"/>
    <s v="Guinea"/>
    <x v="8"/>
    <n v="507170"/>
    <n v="383773"/>
    <n v="47925"/>
    <n v="54"/>
    <n v="47791"/>
    <n v="48300"/>
    <n v="81849"/>
    <x v="3"/>
    <n v="119872.25"/>
  </r>
  <r>
    <n v="92"/>
    <s v="Ukraine"/>
    <x v="7"/>
    <n v="507140"/>
    <n v="617455"/>
    <n v="83623"/>
    <n v="65"/>
    <n v="71371"/>
    <n v="62952"/>
    <n v="97145"/>
    <x v="3"/>
    <n v="193112.25"/>
  </r>
  <r>
    <n v="93"/>
    <s v="Ivory Coast"/>
    <x v="8"/>
    <n v="505270"/>
    <n v="497236"/>
    <n v="36028"/>
    <n v="56"/>
    <n v="60544"/>
    <n v="32724"/>
    <n v="76597"/>
    <x v="3"/>
    <n v="148452"/>
  </r>
  <r>
    <n v="94"/>
    <s v="Gabon"/>
    <x v="8"/>
    <n v="503470"/>
    <n v="653940"/>
    <n v="63034"/>
    <n v="58"/>
    <n v="44869"/>
    <n v="8561"/>
    <n v="81765"/>
    <x v="3"/>
    <n v="190460.75"/>
  </r>
  <r>
    <n v="95"/>
    <s v="Nigeria"/>
    <x v="8"/>
    <n v="498060"/>
    <n v="484103"/>
    <n v="62145"/>
    <n v="55"/>
    <n v="58086"/>
    <n v="41637"/>
    <n v="97711"/>
    <x v="3"/>
    <n v="151083.5"/>
  </r>
  <r>
    <n v="96"/>
    <s v="Cameroon"/>
    <x v="8"/>
    <n v="497320"/>
    <n v="438599"/>
    <n v="53789"/>
    <n v="56"/>
    <n v="52545"/>
    <n v="34244"/>
    <n v="89435"/>
    <x v="3"/>
    <n v="136233.25"/>
  </r>
  <r>
    <n v="97"/>
    <s v="Mozambique"/>
    <x v="8"/>
    <n v="495400"/>
    <n v="259175"/>
    <n v="54660"/>
    <n v="52"/>
    <n v="81038"/>
    <n v="38307"/>
    <n v="65691"/>
    <x v="3"/>
    <n v="98718.25"/>
  </r>
  <r>
    <n v="98"/>
    <s v="Iraq"/>
    <x v="2"/>
    <n v="494090"/>
    <n v="582354"/>
    <n v="58814"/>
    <n v="63"/>
    <n v="45558"/>
    <n v="31677"/>
    <n v="93253"/>
    <x v="3"/>
    <n v="171681.5"/>
  </r>
  <r>
    <n v="99"/>
    <s v="State of Palestine"/>
    <x v="2"/>
    <n v="490780"/>
    <n v="520061"/>
    <n v="80811"/>
    <n v="39"/>
    <n v="53963"/>
    <n v="15516"/>
    <n v="88085"/>
    <x v="3"/>
    <n v="163708.75"/>
  </r>
  <r>
    <n v="100"/>
    <s v="Morocco"/>
    <x v="2"/>
    <n v="490280"/>
    <n v="561914"/>
    <n v="33027"/>
    <n v="64"/>
    <n v="69966"/>
    <n v="2990"/>
    <n v="84896"/>
    <x v="3"/>
    <n v="166226.75"/>
  </r>
  <r>
    <n v="101"/>
    <s v="Iran"/>
    <x v="2"/>
    <n v="487630"/>
    <n v="665816"/>
    <n v="68031"/>
    <n v="67"/>
    <n v="36380"/>
    <n v="54376"/>
    <n v="76748"/>
    <x v="3"/>
    <n v="192556.75"/>
  </r>
  <r>
    <n v="102"/>
    <s v="Senegal"/>
    <x v="8"/>
    <n v="485510"/>
    <n v="428578"/>
    <n v="44908"/>
    <n v="60"/>
    <n v="67263"/>
    <n v="33736"/>
    <n v="89374"/>
    <x v="3"/>
    <n v="135187.25"/>
  </r>
  <r>
    <n v="103"/>
    <s v="Mauritania"/>
    <x v="2"/>
    <n v="472390"/>
    <n v="499605"/>
    <n v="47186"/>
    <n v="60"/>
    <n v="41495"/>
    <n v="30735"/>
    <n v="65291"/>
    <x v="3"/>
    <n v="147071.5"/>
  </r>
  <r>
    <n v="104"/>
    <s v="Burkina Faso"/>
    <x v="8"/>
    <n v="463760"/>
    <n v="348918"/>
    <n v="50240"/>
    <n v="55"/>
    <n v="54301"/>
    <n v="44503"/>
    <n v="79856"/>
    <x v="3"/>
    <n v="113364.75"/>
  </r>
  <r>
    <n v="105"/>
    <s v="Namibia"/>
    <x v="8"/>
    <n v="463080"/>
    <n v="585991"/>
    <n v="69493"/>
    <n v="57"/>
    <n v="49648"/>
    <n v="16381"/>
    <n v="87393"/>
    <x v="3"/>
    <n v="176283"/>
  </r>
  <r>
    <n v="106"/>
    <s v="Turkiye"/>
    <x v="2"/>
    <n v="461350"/>
    <n v="779376"/>
    <n v="70874"/>
    <n v="69"/>
    <n v="16159"/>
    <n v="22562"/>
    <n v="82861"/>
    <x v="3"/>
    <n v="216602.25"/>
  </r>
  <r>
    <n v="107"/>
    <s v="Ghana"/>
    <x v="8"/>
    <n v="460500"/>
    <n v="500393"/>
    <n v="46684"/>
    <n v="59"/>
    <n v="68178"/>
    <n v="50089"/>
    <n v="93799"/>
    <x v="3"/>
    <n v="153813.75"/>
  </r>
  <r>
    <n v="108"/>
    <s v="Pakistan"/>
    <x v="9"/>
    <n v="455540"/>
    <n v="491356"/>
    <n v="40548"/>
    <n v="57"/>
    <n v="66240"/>
    <n v="33359"/>
    <n v="81804"/>
    <x v="3"/>
    <n v="149536"/>
  </r>
  <r>
    <n v="109"/>
    <s v="Niger"/>
    <x v="8"/>
    <n v="450130"/>
    <n v="255047"/>
    <n v="38791"/>
    <n v="57"/>
    <n v="70047"/>
    <n v="36475"/>
    <n v="75026"/>
    <x v="3"/>
    <n v="90971.25"/>
  </r>
  <r>
    <n v="110"/>
    <s v="Tunisia"/>
    <x v="2"/>
    <n v="449670"/>
    <n v="606018"/>
    <n v="60578"/>
    <n v="67"/>
    <n v="33608"/>
    <n v="5304"/>
    <n v="97145"/>
    <x v="3"/>
    <n v="175051"/>
  </r>
  <r>
    <n v="111"/>
    <s v="Kenya"/>
    <x v="8"/>
    <n v="448660"/>
    <n v="477976"/>
    <n v="54377"/>
    <n v="58"/>
    <n v="54151"/>
    <n v="69036"/>
    <n v="90208"/>
    <x v="3"/>
    <n v="146626"/>
  </r>
  <r>
    <n v="112"/>
    <s v="Sri Lanka"/>
    <x v="9"/>
    <n v="444160"/>
    <n v="646362"/>
    <n v="75581"/>
    <n v="67"/>
    <n v="69841"/>
    <n v="28548"/>
    <n v="84597"/>
    <x v="3"/>
    <n v="197946"/>
  </r>
  <r>
    <n v="113"/>
    <s v="Uganda"/>
    <x v="8"/>
    <n v="443250"/>
    <n v="356916"/>
    <n v="70603"/>
    <n v="59"/>
    <n v="55131"/>
    <n v="46841"/>
    <n v="90820"/>
    <x v="3"/>
    <n v="120662.5"/>
  </r>
  <r>
    <n v="114"/>
    <s v="Chad"/>
    <x v="8"/>
    <n v="439660"/>
    <n v="282788"/>
    <n v="59374"/>
    <n v="53"/>
    <n v="50899"/>
    <n v="60514"/>
    <n v="84370"/>
    <x v="3"/>
    <n v="98265.25"/>
  </r>
  <r>
    <n v="115"/>
    <s v="Cambodia"/>
    <x v="6"/>
    <n v="439350"/>
    <n v="465996"/>
    <n v="63193"/>
    <n v="62"/>
    <n v="99485"/>
    <n v="41696"/>
    <n v="90819"/>
    <x v="3"/>
    <n v="157168.5"/>
  </r>
  <r>
    <n v="116"/>
    <s v="Benin"/>
    <x v="8"/>
    <n v="437370"/>
    <n v="420099"/>
    <n v="14930"/>
    <n v="56"/>
    <n v="62390"/>
    <n v="26952"/>
    <n v="54857"/>
    <x v="3"/>
    <n v="124354.75"/>
  </r>
  <r>
    <n v="117"/>
    <s v="Myanmar"/>
    <x v="6"/>
    <n v="437250"/>
    <n v="469125"/>
    <n v="69461"/>
    <n v="61"/>
    <n v="59592"/>
    <n v="94910"/>
    <n v="65434"/>
    <x v="3"/>
    <n v="149544.5"/>
  </r>
  <r>
    <n v="118"/>
    <s v="Bangladesh"/>
    <x v="9"/>
    <n v="428210"/>
    <n v="514926"/>
    <n v="31680"/>
    <n v="65"/>
    <n v="79923"/>
    <n v="33007"/>
    <n v="70509"/>
    <x v="3"/>
    <n v="156632.25"/>
  </r>
  <r>
    <n v="119"/>
    <s v="Gambia"/>
    <x v="8"/>
    <n v="427940"/>
    <n v="345836"/>
    <n v="37888"/>
    <n v="58"/>
    <n v="37054"/>
    <n v="78721"/>
    <n v="94071"/>
    <x v="3"/>
    <n v="105194.5"/>
  </r>
  <r>
    <n v="120"/>
    <s v="Mali"/>
    <x v="8"/>
    <n v="419780"/>
    <n v="347035"/>
    <n v="39324"/>
    <n v="55"/>
    <n v="57125"/>
    <n v="28774"/>
    <n v="89391"/>
    <x v="3"/>
    <n v="110871"/>
  </r>
  <r>
    <n v="121"/>
    <s v="Egypt"/>
    <x v="2"/>
    <n v="417050"/>
    <n v="626115"/>
    <n v="60007"/>
    <n v="64"/>
    <n v="60504"/>
    <n v="9084"/>
    <n v="55447"/>
    <x v="3"/>
    <n v="186656.5"/>
  </r>
  <r>
    <n v="122"/>
    <s v="Togo"/>
    <x v="8"/>
    <n v="413740"/>
    <n v="349986"/>
    <n v="39616"/>
    <n v="57"/>
    <n v="47569"/>
    <n v="35420"/>
    <n v="75826"/>
    <x v="3"/>
    <n v="109292.75"/>
  </r>
  <r>
    <n v="123"/>
    <s v="Jordan"/>
    <x v="2"/>
    <n v="411980"/>
    <n v="587563"/>
    <n v="60493"/>
    <n v="68"/>
    <n v="67007"/>
    <n v="13287"/>
    <n v="69107"/>
    <x v="3"/>
    <n v="178765.75"/>
  </r>
  <r>
    <n v="124"/>
    <s v="Ethiopia"/>
    <x v="8"/>
    <n v="409060"/>
    <n v="360660"/>
    <n v="68800"/>
    <n v="61"/>
    <n v="58409"/>
    <n v="67152"/>
    <n v="82064"/>
    <x v="3"/>
    <n v="121967.25"/>
  </r>
  <r>
    <n v="125"/>
    <s v="Liberia"/>
    <x v="8"/>
    <n v="404230"/>
    <n v="285336"/>
    <n v="39776"/>
    <n v="57"/>
    <n v="60994"/>
    <n v="52007"/>
    <n v="87351"/>
    <x v="3"/>
    <n v="96526.5"/>
  </r>
  <r>
    <n v="126"/>
    <s v="India"/>
    <x v="9"/>
    <n v="403580"/>
    <n v="527009"/>
    <n v="41625"/>
    <n v="61"/>
    <n v="88842"/>
    <n v="41497"/>
    <n v="80139"/>
    <x v="3"/>
    <n v="164369"/>
  </r>
  <r>
    <n v="127"/>
    <s v="Madagascar"/>
    <x v="8"/>
    <n v="401910"/>
    <n v="287530"/>
    <n v="48122"/>
    <n v="58"/>
    <n v="24191"/>
    <n v="41966"/>
    <n v="76083"/>
    <x v="3"/>
    <n v="89960.75"/>
  </r>
  <r>
    <n v="128"/>
    <s v="Zambia"/>
    <x v="8"/>
    <n v="398220"/>
    <n v="415300"/>
    <n v="54928"/>
    <n v="55"/>
    <n v="70585"/>
    <n v="44888"/>
    <n v="85755"/>
    <x v="3"/>
    <n v="135203.25"/>
  </r>
  <r>
    <n v="129"/>
    <s v="Tanzania"/>
    <x v="8"/>
    <n v="369380"/>
    <n v="380010"/>
    <n v="48587"/>
    <n v="59"/>
    <n v="78702"/>
    <n v="55528"/>
    <n v="52078"/>
    <x v="3"/>
    <n v="126824.75"/>
  </r>
  <r>
    <n v="130"/>
    <s v="Comoros"/>
    <x v="8"/>
    <n v="354520"/>
    <n v="415421"/>
    <n v="20179"/>
    <n v="59"/>
    <n v="15218"/>
    <n v="30547"/>
    <n v="74189"/>
    <x v="3"/>
    <n v="112704.5"/>
  </r>
  <r>
    <n v="131"/>
    <s v="Malawi"/>
    <x v="8"/>
    <n v="349520"/>
    <n v="289375"/>
    <n v="29547"/>
    <n v="58"/>
    <n v="63542"/>
    <n v="33026"/>
    <n v="76993"/>
    <x v="3"/>
    <n v="95616"/>
  </r>
  <r>
    <n v="132"/>
    <s v="Botswana"/>
    <x v="8"/>
    <n v="343530"/>
    <n v="668918"/>
    <n v="64251"/>
    <n v="55"/>
    <n v="62199"/>
    <n v="5047"/>
    <n v="87395"/>
    <x v="3"/>
    <n v="198842"/>
  </r>
  <r>
    <n v="133"/>
    <s v="Congo (Kinshasa)"/>
    <x v="8"/>
    <n v="320720"/>
    <n v="241300"/>
    <n v="48389"/>
    <n v="55"/>
    <n v="48667"/>
    <n v="43310"/>
    <n v="87824"/>
    <x v="3"/>
    <n v="84589"/>
  </r>
  <r>
    <n v="134"/>
    <s v="Zimbabwe"/>
    <x v="8"/>
    <n v="320350"/>
    <n v="344725"/>
    <n v="54364"/>
    <n v="54"/>
    <n v="46987"/>
    <n v="26480"/>
    <n v="79117"/>
    <x v="3"/>
    <n v="111519"/>
  </r>
  <r>
    <n v="135"/>
    <s v="Sierra Leone"/>
    <x v="8"/>
    <n v="313760"/>
    <n v="304455"/>
    <n v="33361"/>
    <n v="55"/>
    <n v="48076"/>
    <n v="45720"/>
    <n v="90892"/>
    <x v="3"/>
    <n v="96473"/>
  </r>
  <r>
    <n v="136"/>
    <s v="Lebanon"/>
    <x v="2"/>
    <n v="239220"/>
    <n v="644189"/>
    <n v="29385"/>
    <n v="66"/>
    <n v="15913"/>
    <n v="14429"/>
    <n v="95149"/>
    <x v="3"/>
    <n v="172371.75"/>
  </r>
  <r>
    <n v="137"/>
    <s v="Afghanistan"/>
    <x v="9"/>
    <n v="185900"/>
    <n v="293045"/>
    <n v="0"/>
    <n v="55"/>
    <n v="0"/>
    <n v="22053"/>
    <n v="89543"/>
    <x v="3"/>
    <n v="73261.25"/>
  </r>
  <r>
    <n v="1"/>
    <s v="Finland"/>
    <x v="0"/>
    <n v="774070"/>
    <n v="861498"/>
    <n v="97268"/>
    <n v="76"/>
    <n v="99532"/>
    <n v="35347"/>
    <n v="94966"/>
    <x v="4"/>
    <n v="264574.5"/>
  </r>
  <r>
    <n v="2"/>
    <s v="Denmark"/>
    <x v="0"/>
    <n v="758270"/>
    <n v="891278"/>
    <n v="94051"/>
    <n v="76"/>
    <n v="95298"/>
    <n v="50792"/>
    <n v="95358"/>
    <x v="4"/>
    <n v="270156.75"/>
  </r>
  <r>
    <n v="3"/>
    <s v="Iceland"/>
    <x v="0"/>
    <n v="752510"/>
    <n v="878627"/>
    <n v="100000"/>
    <n v="77"/>
    <n v="94808"/>
    <n v="64455"/>
    <n v="31728"/>
    <x v="4"/>
    <n v="268358.75"/>
  </r>
  <r>
    <n v="4"/>
    <s v="Sweden"/>
    <x v="0"/>
    <n v="734410"/>
    <n v="877425"/>
    <n v="92843"/>
    <n v="77"/>
    <n v="97097"/>
    <n v="55252"/>
    <n v="91078"/>
    <x v="4"/>
    <n v="266841.25"/>
  </r>
  <r>
    <n v="5"/>
    <s v="Israel"/>
    <x v="2"/>
    <n v="734110"/>
    <n v="842288"/>
    <n v="93583"/>
    <n v="78"/>
    <n v="74301"/>
    <n v="38224"/>
    <n v="33528"/>
    <x v="4"/>
    <n v="252543"/>
  </r>
  <r>
    <n v="6"/>
    <s v="Netherlands"/>
    <x v="0"/>
    <n v="731940"/>
    <n v="887942"/>
    <n v="90444"/>
    <n v="76"/>
    <n v="83986"/>
    <n v="61715"/>
    <n v="64757"/>
    <x v="4"/>
    <n v="265593"/>
  </r>
  <r>
    <n v="7"/>
    <s v="Norway"/>
    <x v="0"/>
    <n v="730170"/>
    <n v="911908"/>
    <n v="93815"/>
    <n v="76"/>
    <n v="96762"/>
    <n v="55922"/>
    <n v="84146"/>
    <x v="4"/>
    <n v="275621.25"/>
  </r>
  <r>
    <n v="8"/>
    <s v="Luxembourg"/>
    <x v="0"/>
    <n v="712190"/>
    <n v="1000000"/>
    <n v="83799"/>
    <n v="77"/>
    <n v="92805"/>
    <n v="36347"/>
    <n v="75188"/>
    <x v="4"/>
    <n v="294151"/>
  </r>
  <r>
    <n v="9"/>
    <s v="Switzerland"/>
    <x v="0"/>
    <n v="706020"/>
    <n v="920463"/>
    <n v="88148"/>
    <n v="78"/>
    <n v="87934"/>
    <n v="43239"/>
    <n v="86525"/>
    <x v="4"/>
    <n v="274136.25"/>
  </r>
  <r>
    <n v="10"/>
    <s v="Australia"/>
    <x v="1"/>
    <n v="705690"/>
    <n v="866266"/>
    <n v="90385"/>
    <n v="76"/>
    <n v="87599"/>
    <n v="56188"/>
    <n v="56224"/>
    <x v="4"/>
    <n v="261062.5"/>
  </r>
  <r>
    <n v="11"/>
    <s v="New Zealand"/>
    <x v="1"/>
    <n v="702920"/>
    <n v="845752"/>
    <n v="94458"/>
    <n v="75"/>
    <n v="86357"/>
    <n v="56406"/>
    <n v="83500"/>
    <x v="4"/>
    <n v="256641.75"/>
  </r>
  <r>
    <n v="12"/>
    <s v="Costa Rica"/>
    <x v="3"/>
    <n v="695540"/>
    <n v="729097"/>
    <n v="84936"/>
    <n v="75"/>
    <n v="92260"/>
    <n v="27072"/>
    <n v="21378"/>
    <x v="4"/>
    <n v="226573.25"/>
  </r>
  <r>
    <n v="13"/>
    <s v="Kuwait"/>
    <x v="2"/>
    <n v="695140"/>
    <n v="861974"/>
    <n v="84357"/>
    <n v="75"/>
    <n v="95743"/>
    <n v="49779"/>
    <n v="29849"/>
    <x v="4"/>
    <n v="260518.5"/>
  </r>
  <r>
    <n v="14"/>
    <s v="Austria"/>
    <x v="0"/>
    <n v="690470"/>
    <n v="880752"/>
    <n v="82671"/>
    <n v="76"/>
    <n v="81399"/>
    <n v="53362"/>
    <n v="52956"/>
    <x v="4"/>
    <n v="261205.5"/>
  </r>
  <r>
    <n v="15"/>
    <s v="Canada"/>
    <x v="1"/>
    <n v="689960"/>
    <n v="859474"/>
    <n v="90232"/>
    <n v="76"/>
    <n v="84565"/>
    <n v="57434"/>
    <n v="64026"/>
    <x v="4"/>
    <n v="258567.75"/>
  </r>
  <r>
    <n v="16"/>
    <s v="Belgium"/>
    <x v="0"/>
    <n v="689420"/>
    <n v="872705"/>
    <n v="89106"/>
    <n v="76"/>
    <n v="84413"/>
    <n v="42531"/>
    <n v="54042"/>
    <x v="4"/>
    <n v="261556"/>
  </r>
  <r>
    <n v="17"/>
    <s v="Ireland"/>
    <x v="0"/>
    <n v="683800"/>
    <n v="994539"/>
    <n v="85979"/>
    <n v="76"/>
    <n v="87756"/>
    <n v="51196"/>
    <n v="72707"/>
    <x v="4"/>
    <n v="292068.5"/>
  </r>
  <r>
    <n v="18"/>
    <s v="Czechia"/>
    <x v="0"/>
    <n v="682180"/>
    <n v="833065"/>
    <n v="93473"/>
    <n v="74"/>
    <n v="91101"/>
    <n v="44123"/>
    <n v="11798"/>
    <x v="4"/>
    <n v="254409.75"/>
  </r>
  <r>
    <n v="19"/>
    <s v="Lithuania"/>
    <x v="0"/>
    <n v="681750"/>
    <n v="824885"/>
    <n v="89920"/>
    <n v="73"/>
    <n v="61701"/>
    <n v="10937"/>
    <n v="20143"/>
    <x v="4"/>
    <n v="244126.5"/>
  </r>
  <r>
    <n v="20"/>
    <s v="United Kingdom"/>
    <x v="0"/>
    <n v="674900"/>
    <n v="851296"/>
    <n v="82035"/>
    <n v="75"/>
    <n v="82599"/>
    <n v="66512"/>
    <n v="61091"/>
    <x v="4"/>
    <n v="253982.5"/>
  </r>
  <r>
    <n v="21"/>
    <s v="Slovenia"/>
    <x v="4"/>
    <n v="674330"/>
    <n v="834190"/>
    <n v="92928"/>
    <n v="76"/>
    <n v="91448"/>
    <n v="39295"/>
    <n v="22707"/>
    <x v="4"/>
    <n v="254641.5"/>
  </r>
  <r>
    <n v="22"/>
    <s v="United Arab Emirates"/>
    <x v="2"/>
    <n v="673310"/>
    <n v="926467"/>
    <n v="72003"/>
    <n v="72"/>
    <n v="94401"/>
    <n v="52127"/>
    <n v="44914"/>
    <x v="4"/>
    <n v="273217.75"/>
  </r>
  <r>
    <n v="23"/>
    <s v="United States"/>
    <x v="1"/>
    <n v="672480"/>
    <n v="905791"/>
    <n v="86094"/>
    <n v="72"/>
    <n v="67918"/>
    <n v="55708"/>
    <n v="29412"/>
    <x v="4"/>
    <n v="264950.75"/>
  </r>
  <r>
    <n v="24"/>
    <s v="Germany"/>
    <x v="0"/>
    <n v="671850"/>
    <n v="874242"/>
    <n v="85967"/>
    <n v="76"/>
    <n v="81064"/>
    <n v="43453"/>
    <n v="63956"/>
    <x v="4"/>
    <n v="260318.25"/>
  </r>
  <r>
    <n v="25"/>
    <s v="Mexico"/>
    <x v="3"/>
    <n v="667800"/>
    <n v="710455"/>
    <n v="76782"/>
    <n v="72"/>
    <n v="83642"/>
    <n v="21428"/>
    <n v="22021"/>
    <x v="4"/>
    <n v="217719.75"/>
  </r>
  <r>
    <n v="26"/>
    <s v="Uruguay"/>
    <x v="3"/>
    <n v="661150"/>
    <n v="745412"/>
    <n v="88550"/>
    <n v="73"/>
    <n v="89791"/>
    <n v="26459"/>
    <n v="38336"/>
    <x v="4"/>
    <n v="230938.25"/>
  </r>
  <r>
    <n v="27"/>
    <s v="France"/>
    <x v="0"/>
    <n v="660900"/>
    <n v="849487"/>
    <n v="83395"/>
    <n v="77"/>
    <n v="75269"/>
    <n v="28013"/>
    <n v="48839"/>
    <x v="4"/>
    <n v="252037.75"/>
  </r>
  <r>
    <n v="28"/>
    <s v="Saudi Arabia"/>
    <x v="2"/>
    <n v="659350"/>
    <n v="860725"/>
    <n v="84171"/>
    <n v="71"/>
    <n v="91172"/>
    <n v="28415"/>
    <n v="32685"/>
    <x v="4"/>
    <n v="259017"/>
  </r>
  <r>
    <n v="29"/>
    <s v="Kosovo"/>
    <x v="4"/>
    <n v="656100"/>
    <n v="637339"/>
    <n v="78985"/>
    <n v="73"/>
    <n v="85638"/>
    <n v="63328"/>
    <n v="12630"/>
    <x v="4"/>
    <n v="200490.5"/>
  </r>
  <r>
    <n v="30"/>
    <s v="Singapore"/>
    <x v="6"/>
    <n v="652280"/>
    <n v="989526"/>
    <n v="84207"/>
    <n v="78"/>
    <n v="86056"/>
    <n v="41990"/>
    <n v="100000"/>
    <x v="4"/>
    <n v="289947.25"/>
  </r>
  <r>
    <n v="31"/>
    <s v="Taiwan Province of China"/>
    <x v="5"/>
    <n v="650350"/>
    <n v="860343"/>
    <n v="83257"/>
    <n v="75"/>
    <n v="75178"/>
    <n v="17043"/>
    <n v="35184"/>
    <x v="4"/>
    <n v="254694.5"/>
  </r>
  <r>
    <n v="32"/>
    <s v="Romania"/>
    <x v="4"/>
    <n v="649120"/>
    <n v="793747"/>
    <n v="76443"/>
    <n v="73"/>
    <n v="83000"/>
    <n v="10157"/>
    <n v="1098"/>
    <x v="4"/>
    <n v="238297.5"/>
  </r>
  <r>
    <n v="33"/>
    <s v="El Salvador"/>
    <x v="3"/>
    <n v="646870"/>
    <n v="591016"/>
    <n v="66796"/>
    <n v="72"/>
    <n v="94521"/>
    <n v="20589"/>
    <n v="43942"/>
    <x v="4"/>
    <n v="188083.25"/>
  </r>
  <r>
    <n v="34"/>
    <s v="Estonia"/>
    <x v="0"/>
    <n v="644770"/>
    <n v="818422"/>
    <n v="94468"/>
    <n v="75"/>
    <n v="93287"/>
    <n v="41531"/>
    <n v="69812"/>
    <x v="4"/>
    <n v="251544.25"/>
  </r>
  <r>
    <n v="35"/>
    <s v="Poland"/>
    <x v="4"/>
    <n v="644150"/>
    <n v="811814"/>
    <n v="87680"/>
    <n v="74"/>
    <n v="69503"/>
    <n v="20093"/>
    <n v="30482"/>
    <x v="4"/>
    <n v="242249.25"/>
  </r>
  <r>
    <n v="36"/>
    <s v="Spain"/>
    <x v="0"/>
    <n v="642090"/>
    <n v="825122"/>
    <n v="90975"/>
    <n v="77"/>
    <n v="71697"/>
    <n v="29647"/>
    <n v="30803"/>
    <x v="4"/>
    <n v="246948.5"/>
  </r>
  <r>
    <n v="37"/>
    <s v="Serbia"/>
    <x v="4"/>
    <n v="641080"/>
    <n v="718435"/>
    <n v="86079"/>
    <n v="73"/>
    <n v="76822"/>
    <n v="49932"/>
    <n v="17498"/>
    <x v="4"/>
    <n v="220334"/>
  </r>
  <r>
    <n v="38"/>
    <s v="Chile"/>
    <x v="3"/>
    <n v="636030"/>
    <n v="755165"/>
    <n v="84687"/>
    <n v="76"/>
    <n v="75386"/>
    <n v="29188"/>
    <n v="13124"/>
    <x v="4"/>
    <n v="228809.5"/>
  </r>
  <r>
    <n v="39"/>
    <s v="Panama"/>
    <x v="3"/>
    <n v="635820"/>
    <n v="795002"/>
    <n v="86110"/>
    <n v="74"/>
    <n v="83389"/>
    <n v="15643"/>
    <n v="7394"/>
    <x v="4"/>
    <n v="241125.25"/>
  </r>
  <r>
    <n v="40"/>
    <s v="Malta"/>
    <x v="0"/>
    <n v="634580"/>
    <n v="853500"/>
    <n v="89302"/>
    <n v="77"/>
    <n v="84210"/>
    <n v="62382"/>
    <n v="21683"/>
    <x v="4"/>
    <n v="256753"/>
  </r>
  <r>
    <n v="41"/>
    <s v="Italy"/>
    <x v="0"/>
    <n v="632350"/>
    <n v="840988"/>
    <n v="82166"/>
    <n v="77"/>
    <n v="59420"/>
    <n v="27972"/>
    <n v="12791"/>
    <x v="4"/>
    <n v="245643.5"/>
  </r>
  <r>
    <n v="42"/>
    <s v="Guatemala"/>
    <x v="3"/>
    <n v="628700"/>
    <n v="588421"/>
    <n v="72309"/>
    <n v="69"/>
    <n v="85171"/>
    <n v="26280"/>
    <n v="13523"/>
    <x v="4"/>
    <n v="186475.25"/>
  </r>
  <r>
    <n v="43"/>
    <s v="Nicaragua"/>
    <x v="3"/>
    <n v="628390"/>
    <n v="512620"/>
    <n v="78144"/>
    <n v="72"/>
    <n v="91901"/>
    <n v="33206"/>
    <n v="43645"/>
    <x v="4"/>
    <n v="170666.25"/>
  </r>
  <r>
    <n v="44"/>
    <s v="Brazil"/>
    <x v="3"/>
    <n v="627200"/>
    <n v="667841"/>
    <n v="78488"/>
    <n v="72"/>
    <n v="79370"/>
    <n v="32444"/>
    <n v="24769"/>
    <x v="4"/>
    <n v="206424.75"/>
  </r>
  <r>
    <n v="45"/>
    <s v="Slovakia"/>
    <x v="4"/>
    <n v="625710"/>
    <n v="796789"/>
    <n v="95284"/>
    <n v="74"/>
    <n v="65609"/>
    <n v="23964"/>
    <n v="10071"/>
    <x v="4"/>
    <n v="239420.5"/>
  </r>
  <r>
    <n v="46"/>
    <s v="Latvia"/>
    <x v="0"/>
    <n v="623450"/>
    <n v="794337"/>
    <n v="93316"/>
    <n v="72"/>
    <n v="77177"/>
    <n v="31732"/>
    <n v="13639"/>
    <x v="4"/>
    <n v="241207.5"/>
  </r>
  <r>
    <n v="47"/>
    <s v="Uzbekistan"/>
    <x v="7"/>
    <n v="619500"/>
    <n v="566075"/>
    <n v="86264"/>
    <n v="71"/>
    <n v="96713"/>
    <n v="62743"/>
    <n v="37326"/>
    <x v="4"/>
    <n v="187263"/>
  </r>
  <r>
    <n v="48"/>
    <s v="Argentina"/>
    <x v="3"/>
    <n v="618810"/>
    <n v="729612"/>
    <n v="85449"/>
    <n v="73"/>
    <n v="78851"/>
    <n v="21822"/>
    <n v="13990"/>
    <x v="4"/>
    <n v="223478"/>
  </r>
  <r>
    <n v="49"/>
    <s v="Kazakhstan"/>
    <x v="7"/>
    <n v="618750"/>
    <n v="757991"/>
    <n v="90110"/>
    <n v="72"/>
    <n v="84855"/>
    <n v="37190"/>
    <n v="20823"/>
    <x v="4"/>
    <n v="233239"/>
  </r>
  <r>
    <n v="50"/>
    <s v="Cyprus"/>
    <x v="0"/>
    <n v="606810"/>
    <n v="838021"/>
    <n v="75284"/>
    <n v="78"/>
    <n v="61250"/>
    <n v="31061"/>
    <n v="8551"/>
    <x v="4"/>
    <n v="243638.75"/>
  </r>
  <r>
    <n v="51"/>
    <s v="Japan"/>
    <x v="5"/>
    <n v="605980"/>
    <n v="834247"/>
    <n v="83783"/>
    <n v="79"/>
    <n v="73149"/>
    <n v="5678"/>
    <n v="38154"/>
    <x v="4"/>
    <n v="247794.75"/>
  </r>
  <r>
    <n v="52"/>
    <s v="South Korea"/>
    <x v="5"/>
    <n v="605790"/>
    <n v="847919"/>
    <n v="72875"/>
    <n v="78"/>
    <n v="64248"/>
    <n v="31515"/>
    <n v="27461"/>
    <x v="4"/>
    <n v="246260.5"/>
  </r>
  <r>
    <n v="53"/>
    <s v="Philippines"/>
    <x v="6"/>
    <n v="604760"/>
    <n v="575533"/>
    <n v="70890"/>
    <n v="68"/>
    <n v="95708"/>
    <n v="24622"/>
    <n v="23652"/>
    <x v="4"/>
    <n v="185532.75"/>
  </r>
  <r>
    <n v="54"/>
    <s v="Vietnam"/>
    <x v="6"/>
    <n v="604300"/>
    <n v="621579"/>
    <n v="78378"/>
    <n v="71"/>
    <n v="97594"/>
    <n v="23369"/>
    <n v="27818"/>
    <x v="4"/>
    <n v="199387.75"/>
  </r>
  <r>
    <n v="55"/>
    <s v="Portugal"/>
    <x v="0"/>
    <n v="602960"/>
    <n v="807075"/>
    <n v="84609"/>
    <n v="76"/>
    <n v="87646"/>
    <n v="11640"/>
    <n v="6145"/>
    <x v="4"/>
    <n v="244832.5"/>
  </r>
  <r>
    <n v="56"/>
    <s v="Hungary"/>
    <x v="4"/>
    <n v="601690"/>
    <n v="804511"/>
    <n v="94537"/>
    <n v="73"/>
    <n v="67289"/>
    <n v="30601"/>
    <n v="11669"/>
    <x v="4"/>
    <n v="241584.25"/>
  </r>
  <r>
    <n v="57"/>
    <s v="Paraguay"/>
    <x v="3"/>
    <n v="597650"/>
    <n v="653179"/>
    <n v="87101"/>
    <n v="72"/>
    <n v="91225"/>
    <n v="32787"/>
    <n v="11354"/>
    <x v="4"/>
    <n v="207876.25"/>
  </r>
  <r>
    <n v="58"/>
    <s v="Thailand"/>
    <x v="6"/>
    <n v="597610"/>
    <n v="693387"/>
    <n v="83309"/>
    <n v="74"/>
    <n v="87531"/>
    <n v="70510"/>
    <n v="4204"/>
    <x v="4"/>
    <n v="216056.75"/>
  </r>
  <r>
    <n v="59"/>
    <s v="Malaysia"/>
    <x v="6"/>
    <n v="597520"/>
    <n v="768912"/>
    <n v="70737"/>
    <n v="71"/>
    <n v="95971"/>
    <n v="56377"/>
    <n v="20700"/>
    <x v="4"/>
    <n v="233905"/>
  </r>
  <r>
    <n v="60"/>
    <s v="China"/>
    <x v="5"/>
    <n v="597270"/>
    <n v="699292"/>
    <n v="76627"/>
    <n v="74"/>
    <n v="81592"/>
    <n v="32887"/>
    <n v="28430"/>
    <x v="4"/>
    <n v="214377.75"/>
  </r>
  <r>
    <n v="61"/>
    <s v="Honduras"/>
    <x v="3"/>
    <n v="596840"/>
    <n v="509547"/>
    <n v="64055"/>
    <n v="70"/>
    <n v="83384"/>
    <n v="43745"/>
    <n v="14046"/>
    <x v="4"/>
    <n v="164246.5"/>
  </r>
  <r>
    <n v="62"/>
    <s v="Croatia"/>
    <x v="4"/>
    <n v="594230"/>
    <n v="798916"/>
    <n v="89374"/>
    <n v="74"/>
    <n v="54346"/>
    <n v="16046"/>
    <n v="7452"/>
    <x v="4"/>
    <n v="235659"/>
  </r>
  <r>
    <n v="63"/>
    <s v="Greece"/>
    <x v="2"/>
    <n v="593360"/>
    <n v="786686"/>
    <n v="78940"/>
    <n v="76"/>
    <n v="39053"/>
    <n v="4532"/>
    <n v="16097"/>
    <x v="4"/>
    <n v="226169.75"/>
  </r>
  <r>
    <n v="64"/>
    <s v="Bosnia and Herzegovina"/>
    <x v="4"/>
    <n v="587700"/>
    <n v="684293"/>
    <n v="81541"/>
    <n v="73"/>
    <n v="71889"/>
    <n v="61470"/>
    <n v="74573.75"/>
    <x v="4"/>
    <n v="209430.75"/>
  </r>
  <r>
    <n v="65"/>
    <s v="Libya"/>
    <x v="2"/>
    <n v="586630"/>
    <n v="712751"/>
    <n v="68047"/>
    <n v="72"/>
    <n v="68538"/>
    <n v="27718"/>
    <n v="35397"/>
    <x v="4"/>
    <n v="212334"/>
  </r>
  <r>
    <n v="66"/>
    <s v="Jamaica"/>
    <x v="3"/>
    <n v="584170"/>
    <n v="598077"/>
    <n v="81892"/>
    <n v="72"/>
    <n v="74933"/>
    <n v="22265"/>
    <n v="4880"/>
    <x v="4"/>
    <n v="188725.5"/>
  </r>
  <r>
    <n v="67"/>
    <s v="Peru"/>
    <x v="3"/>
    <n v="584090"/>
    <n v="640313"/>
    <n v="72994"/>
    <n v="75"/>
    <n v="71218"/>
    <n v="19505"/>
    <n v="4996"/>
    <x v="4"/>
    <n v="196131.25"/>
  </r>
  <r>
    <n v="68"/>
    <s v="Dominican Republic"/>
    <x v="3"/>
    <n v="582280"/>
    <n v="708565"/>
    <n v="78657"/>
    <n v="71"/>
    <n v="84544"/>
    <n v="21543"/>
    <n v="34005"/>
    <x v="4"/>
    <n v="217941.5"/>
  </r>
  <r>
    <n v="69"/>
    <s v="Mauritius"/>
    <x v="8"/>
    <n v="581640"/>
    <n v="733663"/>
    <n v="83994"/>
    <n v="70"/>
    <n v="74224"/>
    <n v="30632"/>
    <n v="20477"/>
    <x v="4"/>
    <n v="222970.25"/>
  </r>
  <r>
    <n v="70"/>
    <s v="Moldova"/>
    <x v="4"/>
    <n v="581590"/>
    <n v="647210"/>
    <n v="79008"/>
    <n v="72"/>
    <n v="80485"/>
    <n v="19303"/>
    <n v="7735"/>
    <x v="4"/>
    <n v="201675.75"/>
  </r>
  <r>
    <n v="71"/>
    <s v="Russia"/>
    <x v="7"/>
    <n v="578530"/>
    <n v="767194"/>
    <n v="83586"/>
    <n v="71"/>
    <n v="63875"/>
    <n v="34384"/>
    <n v="20957"/>
    <x v="4"/>
    <n v="228663.75"/>
  </r>
  <r>
    <n v="72"/>
    <s v="Bolivia"/>
    <x v="3"/>
    <n v="578430"/>
    <n v="568578"/>
    <n v="72960"/>
    <n v="70"/>
    <n v="83335"/>
    <n v="24842"/>
    <n v="10575"/>
    <x v="4"/>
    <n v="181218.25"/>
  </r>
  <r>
    <n v="73"/>
    <s v="Ecuador"/>
    <x v="3"/>
    <n v="572450"/>
    <n v="614556"/>
    <n v="71180"/>
    <n v="74"/>
    <n v="70203"/>
    <n v="21807"/>
    <n v="13620"/>
    <x v="4"/>
    <n v="188984.75"/>
  </r>
  <r>
    <n v="74"/>
    <s v="Kyrgyzstan"/>
    <x v="7"/>
    <n v="571350"/>
    <n v="492532"/>
    <n v="91364"/>
    <n v="73"/>
    <n v="96634"/>
    <n v="56189"/>
    <n v="5191"/>
    <x v="4"/>
    <n v="170132.5"/>
  </r>
  <r>
    <n v="75"/>
    <s v="Montenegro"/>
    <x v="4"/>
    <n v="570700"/>
    <n v="733711"/>
    <n v="81532"/>
    <n v="73"/>
    <n v="73173"/>
    <n v="27553"/>
    <n v="22978"/>
    <x v="4"/>
    <n v="222104"/>
  </r>
  <r>
    <n v="76"/>
    <s v="Mongolia"/>
    <x v="5"/>
    <n v="569620"/>
    <n v="631951"/>
    <n v="93450"/>
    <n v="67"/>
    <n v="58008"/>
    <n v="59072"/>
    <n v="9610"/>
    <x v="4"/>
    <n v="195852.25"/>
  </r>
  <r>
    <n v="77"/>
    <s v="Colombia"/>
    <x v="3"/>
    <n v="569510"/>
    <n v="671288"/>
    <n v="76751"/>
    <n v="75"/>
    <n v="74585"/>
    <n v="17864"/>
    <n v="10191"/>
    <x v="4"/>
    <n v="205656"/>
  </r>
  <r>
    <n v="78"/>
    <s v="Venezuela"/>
    <x v="3"/>
    <n v="560670"/>
    <n v="0"/>
    <n v="81740"/>
    <n v="70"/>
    <n v="59990"/>
    <n v="47969"/>
    <n v="14982"/>
    <x v="4"/>
    <n v="35432.5"/>
  </r>
  <r>
    <n v="79"/>
    <s v="Indonesia"/>
    <x v="6"/>
    <n v="556830"/>
    <n v="636058"/>
    <n v="73260"/>
    <n v="69"/>
    <n v="90283"/>
    <n v="99602"/>
    <n v="9513"/>
    <x v="4"/>
    <n v="199900.25"/>
  </r>
  <r>
    <n v="80"/>
    <s v="Bulgaria"/>
    <x v="4"/>
    <n v="546270"/>
    <n v="761209"/>
    <n v="90860"/>
    <n v="72"/>
    <n v="71861"/>
    <n v="20780"/>
    <n v="1069"/>
    <x v="4"/>
    <n v="230982.5"/>
  </r>
  <r>
    <n v="81"/>
    <s v="Armenia"/>
    <x v="7"/>
    <n v="545490"/>
    <n v="674410"/>
    <n v="71415"/>
    <n v="73"/>
    <n v="75317"/>
    <n v="12831"/>
    <n v="30090"/>
    <x v="4"/>
    <n v="205285.5"/>
  </r>
  <r>
    <n v="82"/>
    <s v="South Africa"/>
    <x v="8"/>
    <n v="542200"/>
    <n v="648958"/>
    <n v="84704"/>
    <n v="65"/>
    <n v="62153"/>
    <n v="19570"/>
    <n v="5909"/>
    <x v="4"/>
    <n v="198953.75"/>
  </r>
  <r>
    <n v="83"/>
    <s v="North Macedonia"/>
    <x v="4"/>
    <n v="536910"/>
    <n v="689230"/>
    <n v="78971"/>
    <n v="72"/>
    <n v="67150"/>
    <n v="48347"/>
    <n v="2544"/>
    <x v="4"/>
    <n v="208837.75"/>
  </r>
  <r>
    <n v="84"/>
    <s v="Algeria"/>
    <x v="2"/>
    <n v="536350"/>
    <n v="618327"/>
    <n v="73652"/>
    <n v="72"/>
    <n v="28611"/>
    <n v="22771"/>
    <n v="34775"/>
    <x v="4"/>
    <n v="180147.5"/>
  </r>
  <r>
    <n v="85"/>
    <s v="Hong Kong S.A.R. of China"/>
    <x v="5"/>
    <n v="531640"/>
    <n v="891705"/>
    <n v="73273"/>
    <n v="81"/>
    <n v="56144"/>
    <n v="36619"/>
    <n v="69833"/>
    <x v="4"/>
    <n v="255280.5"/>
  </r>
  <r>
    <n v="86"/>
    <s v="Albania"/>
    <x v="4"/>
    <n v="530420"/>
    <n v="671748"/>
    <n v="57133"/>
    <n v="74"/>
    <n v="79892"/>
    <n v="34403"/>
    <n v="8517"/>
    <x v="4"/>
    <n v="202193.25"/>
  </r>
  <r>
    <n v="87"/>
    <s v="Congo (Brazzaville)"/>
    <x v="8"/>
    <n v="522150"/>
    <n v="416881"/>
    <n v="38471"/>
    <n v="64"/>
    <n v="60549"/>
    <n v="30890"/>
    <n v="23939"/>
    <x v="4"/>
    <n v="128975.25"/>
  </r>
  <r>
    <n v="88"/>
    <s v="Mozambique"/>
    <x v="8"/>
    <n v="521640"/>
    <n v="261510"/>
    <n v="54628"/>
    <n v="60"/>
    <n v="84337"/>
    <n v="39334"/>
    <n v="34110"/>
    <x v="4"/>
    <n v="100118.75"/>
  </r>
  <r>
    <n v="89"/>
    <s v="Georgia"/>
    <x v="7"/>
    <n v="518470"/>
    <n v="685312"/>
    <n v="61243"/>
    <n v="71"/>
    <n v="78743"/>
    <n v="0"/>
    <n v="30305"/>
    <x v="4"/>
    <n v="206324.5"/>
  </r>
  <r>
    <n v="90"/>
    <s v="Iraq"/>
    <x v="2"/>
    <n v="516600"/>
    <n v="583364"/>
    <n v="61610"/>
    <n v="70"/>
    <n v="49173"/>
    <n v="35251"/>
    <n v="8315"/>
    <x v="4"/>
    <n v="173536.75"/>
  </r>
  <r>
    <n v="91"/>
    <s v="Nepal"/>
    <x v="9"/>
    <n v="515840"/>
    <n v="450995"/>
    <n v="61254"/>
    <n v="69"/>
    <n v="75627"/>
    <n v="52233"/>
    <n v="19981"/>
    <x v="4"/>
    <n v="146969"/>
  </r>
  <r>
    <n v="92"/>
    <s v="Laos"/>
    <x v="5"/>
    <n v="513890"/>
    <n v="564568"/>
    <n v="52353"/>
    <n v="68"/>
    <n v="92255"/>
    <n v="42301"/>
    <n v="28958"/>
    <x v="4"/>
    <n v="177294"/>
  </r>
  <r>
    <n v="93"/>
    <s v="Gabon"/>
    <x v="8"/>
    <n v="510630"/>
    <n v="655653"/>
    <n v="64189"/>
    <n v="66"/>
    <n v="59747"/>
    <n v="11297"/>
    <n v="17365"/>
    <x v="4"/>
    <n v="194897.25"/>
  </r>
  <r>
    <n v="94"/>
    <s v="Ivory Coast"/>
    <x v="8"/>
    <n v="508010"/>
    <n v="504612"/>
    <n v="35733"/>
    <n v="64"/>
    <n v="63354"/>
    <n v="30062"/>
    <n v="28528"/>
    <x v="4"/>
    <n v="150924.75"/>
  </r>
  <r>
    <n v="95"/>
    <s v="Guinea"/>
    <x v="8"/>
    <n v="502330"/>
    <n v="388022"/>
    <n v="38454"/>
    <n v="62"/>
    <n v="60381"/>
    <n v="52419"/>
    <n v="18683"/>
    <x v="4"/>
    <n v="121714.25"/>
  </r>
  <r>
    <n v="96"/>
    <s v="Turkiye"/>
    <x v="2"/>
    <n v="497530"/>
    <n v="794937"/>
    <n v="72687"/>
    <n v="74"/>
    <n v="23407"/>
    <n v="16981"/>
    <n v="19955"/>
    <x v="4"/>
    <n v="222757.75"/>
  </r>
  <r>
    <n v="97"/>
    <s v="Senegal"/>
    <x v="8"/>
    <n v="496860"/>
    <n v="433240"/>
    <n v="46438"/>
    <n v="67"/>
    <n v="70280"/>
    <n v="37926"/>
    <n v="11943"/>
    <x v="4"/>
    <n v="137489.5"/>
  </r>
  <r>
    <n v="98"/>
    <s v="Iran"/>
    <x v="2"/>
    <n v="492280"/>
    <n v="670486"/>
    <n v="70286"/>
    <n v="72"/>
    <n v="42336"/>
    <n v="58641"/>
    <n v="21464"/>
    <x v="4"/>
    <n v="195777"/>
  </r>
  <r>
    <n v="99"/>
    <s v="Azerbaijan"/>
    <x v="7"/>
    <n v="489340"/>
    <n v="669424"/>
    <n v="54171"/>
    <n v="70"/>
    <n v="77392"/>
    <n v="27835"/>
    <n v="34637"/>
    <x v="4"/>
    <n v="200246.75"/>
  </r>
  <r>
    <n v="100"/>
    <s v="Nigeria"/>
    <x v="8"/>
    <n v="488080"/>
    <n v="486691"/>
    <n v="66531"/>
    <n v="63"/>
    <n v="65538"/>
    <n v="50252"/>
    <n v="3300"/>
    <x v="4"/>
    <n v="154690"/>
  </r>
  <r>
    <n v="101"/>
    <s v="Cameroon"/>
    <x v="8"/>
    <n v="487440"/>
    <n v="440662"/>
    <n v="52953"/>
    <n v="64"/>
    <n v="60374"/>
    <n v="31514"/>
    <n v="10487"/>
    <x v="4"/>
    <n v="138497.25"/>
  </r>
  <r>
    <n v="102"/>
    <s v="Ukraine"/>
    <x v="7"/>
    <n v="487300"/>
    <n v="630641"/>
    <n v="81364"/>
    <n v="71"/>
    <n v="73048"/>
    <n v="71213"/>
    <n v="4414"/>
    <x v="4"/>
    <n v="196263.25"/>
  </r>
  <r>
    <n v="103"/>
    <s v="Namibia"/>
    <x v="8"/>
    <n v="483170"/>
    <n v="591607"/>
    <n v="74978"/>
    <n v="64"/>
    <n v="54410"/>
    <n v="17140"/>
    <n v="10691"/>
    <x v="4"/>
    <n v="180248.75"/>
  </r>
  <r>
    <n v="104"/>
    <s v="Morocco"/>
    <x v="2"/>
    <n v="479470"/>
    <n v="566892"/>
    <n v="29140"/>
    <n v="70"/>
    <n v="73101"/>
    <n v="10503"/>
    <n v="14227"/>
    <x v="4"/>
    <n v="167283.25"/>
  </r>
  <r>
    <n v="105"/>
    <s v="Pakistan"/>
    <x v="9"/>
    <n v="465670"/>
    <n v="499198"/>
    <n v="37140"/>
    <n v="65"/>
    <n v="62774"/>
    <n v="36035"/>
    <n v="12861"/>
    <x v="4"/>
    <n v="149778"/>
  </r>
  <r>
    <n v="106"/>
    <s v="Niger"/>
    <x v="8"/>
    <n v="455630"/>
    <n v="267622"/>
    <n v="41904"/>
    <n v="64"/>
    <n v="71180"/>
    <n v="36171"/>
    <n v="25525"/>
    <x v="4"/>
    <n v="95176.5"/>
  </r>
  <r>
    <n v="107"/>
    <s v="Burkina Faso"/>
    <x v="8"/>
    <n v="454800"/>
    <n v="353115"/>
    <n v="42378"/>
    <n v="63"/>
    <n v="55939"/>
    <n v="43211"/>
    <n v="31067"/>
    <x v="4"/>
    <n v="112858"/>
  </r>
  <r>
    <n v="108"/>
    <s v="Mauritania"/>
    <x v="2"/>
    <n v="450510"/>
    <n v="503457"/>
    <n v="43589"/>
    <n v="67"/>
    <n v="39683"/>
    <n v="33064"/>
    <n v="34511"/>
    <x v="4"/>
    <n v="146682.25"/>
  </r>
  <r>
    <n v="109"/>
    <s v="Gambia"/>
    <x v="8"/>
    <n v="448490"/>
    <n v="350522"/>
    <n v="42303"/>
    <n v="65"/>
    <n v="53119"/>
    <n v="80918"/>
    <n v="8311"/>
    <x v="4"/>
    <n v="111486"/>
  </r>
  <r>
    <n v="110"/>
    <s v="Chad"/>
    <x v="8"/>
    <n v="447130"/>
    <n v="281849"/>
    <n v="49824"/>
    <n v="61"/>
    <n v="47621"/>
    <n v="54504"/>
    <n v="19601"/>
    <x v="4"/>
    <n v="94823.5"/>
  </r>
  <r>
    <n v="111"/>
    <s v="Kenya"/>
    <x v="8"/>
    <n v="446960"/>
    <n v="484339"/>
    <n v="55387"/>
    <n v="66"/>
    <n v="60069"/>
    <n v="70235"/>
    <n v="11927"/>
    <x v="4"/>
    <n v="149948.75"/>
  </r>
  <r>
    <n v="112"/>
    <s v="Tunisia"/>
    <x v="2"/>
    <n v="442180"/>
    <n v="610340"/>
    <n v="59058"/>
    <n v="73"/>
    <n v="29414"/>
    <n v="5960"/>
    <n v="3191"/>
    <x v="4"/>
    <n v="174703"/>
  </r>
  <r>
    <n v="113"/>
    <s v="Benin"/>
    <x v="8"/>
    <n v="437740"/>
    <n v="426801"/>
    <n v="7940"/>
    <n v="64"/>
    <n v="65654"/>
    <n v="27961"/>
    <n v="43828"/>
    <x v="4"/>
    <n v="125098.75"/>
  </r>
  <r>
    <n v="114"/>
    <s v="Uganda"/>
    <x v="8"/>
    <n v="437170"/>
    <n v="360638"/>
    <n v="71189"/>
    <n v="66"/>
    <n v="68044"/>
    <n v="44368"/>
    <n v="9423"/>
    <x v="4"/>
    <n v="124967.75"/>
  </r>
  <r>
    <n v="115"/>
    <s v="Myanmar"/>
    <x v="6"/>
    <n v="435450"/>
    <n v="456719"/>
    <n v="61126"/>
    <n v="68"/>
    <n v="52172"/>
    <n v="100000"/>
    <n v="30273"/>
    <x v="4"/>
    <n v="142504.25"/>
  </r>
  <r>
    <n v="116"/>
    <s v="Cambodia"/>
    <x v="6"/>
    <n v="434070"/>
    <n v="472308"/>
    <n v="63008"/>
    <n v="68"/>
    <n v="100000"/>
    <n v="42378"/>
    <n v="12354"/>
    <x v="4"/>
    <n v="158829"/>
  </r>
  <r>
    <n v="117"/>
    <s v="Ghana"/>
    <x v="8"/>
    <n v="428940"/>
    <n v="502920"/>
    <n v="46219"/>
    <n v="66"/>
    <n v="72188"/>
    <n v="45589"/>
    <n v="4822"/>
    <x v="4"/>
    <n v="155331.75"/>
  </r>
  <r>
    <n v="118"/>
    <s v="Liberia"/>
    <x v="8"/>
    <n v="426860"/>
    <n v="289078"/>
    <n v="41648"/>
    <n v="64"/>
    <n v="63225"/>
    <n v="44368"/>
    <n v="12954"/>
    <x v="4"/>
    <n v="98487.75"/>
  </r>
  <r>
    <n v="119"/>
    <s v="Mali"/>
    <x v="8"/>
    <n v="423200"/>
    <n v="349171"/>
    <n v="42555"/>
    <n v="63"/>
    <n v="67842"/>
    <n v="30029"/>
    <n v="15580"/>
    <x v="4"/>
    <n v="114892"/>
  </r>
  <r>
    <n v="120"/>
    <s v="Madagascar"/>
    <x v="8"/>
    <n v="422790"/>
    <n v="293343"/>
    <n v="50942"/>
    <n v="65"/>
    <n v="29013"/>
    <n v="43020"/>
    <n v="21427"/>
    <x v="4"/>
    <n v="93324.5"/>
  </r>
  <r>
    <n v="121"/>
    <s v="Togo"/>
    <x v="8"/>
    <n v="421410"/>
    <n v="354351"/>
    <n v="36257"/>
    <n v="65"/>
    <n v="52429"/>
    <n v="31606"/>
    <n v="27127"/>
    <x v="4"/>
    <n v="110759.25"/>
  </r>
  <r>
    <n v="122"/>
    <s v="Jordan"/>
    <x v="2"/>
    <n v="418580"/>
    <n v="589711"/>
    <n v="60807"/>
    <n v="73"/>
    <n v="68713"/>
    <n v="14801"/>
    <n v="32942"/>
    <x v="4"/>
    <n v="179807.75"/>
  </r>
  <r>
    <n v="123"/>
    <s v="India"/>
    <x v="9"/>
    <n v="405410"/>
    <n v="544809"/>
    <n v="40375"/>
    <n v="68"/>
    <n v="88795"/>
    <n v="43393"/>
    <n v="21217"/>
    <x v="4"/>
    <n v="168494.75"/>
  </r>
  <r>
    <n v="124"/>
    <s v="Egypt"/>
    <x v="2"/>
    <n v="397660"/>
    <n v="640020"/>
    <n v="61604"/>
    <n v="70"/>
    <n v="56722"/>
    <n v="6326"/>
    <n v="45073"/>
    <x v="4"/>
    <n v="189586.5"/>
  </r>
  <r>
    <n v="125"/>
    <s v="Sri Lanka"/>
    <x v="9"/>
    <n v="389810"/>
    <n v="635814"/>
    <n v="72914"/>
    <n v="73"/>
    <n v="67536"/>
    <n v="35942"/>
    <n v="5363"/>
    <x v="4"/>
    <n v="194066"/>
  </r>
  <r>
    <n v="126"/>
    <s v="Bangladesh"/>
    <x v="9"/>
    <n v="388590"/>
    <n v="523988"/>
    <n v="15414"/>
    <n v="71"/>
    <n v="89752"/>
    <n v="35025"/>
    <n v="29115"/>
    <x v="4"/>
    <n v="157288.5"/>
  </r>
  <r>
    <n v="127"/>
    <s v="Ethiopia"/>
    <x v="8"/>
    <n v="386090"/>
    <n v="369798"/>
    <n v="56598"/>
    <n v="68"/>
    <n v="51069"/>
    <n v="67442"/>
    <n v="17505"/>
    <x v="4"/>
    <n v="119366.25"/>
  </r>
  <r>
    <n v="128"/>
    <s v="Tanzania"/>
    <x v="8"/>
    <n v="378060"/>
    <n v="383149"/>
    <n v="43676"/>
    <n v="67"/>
    <n v="82153"/>
    <n v="47697"/>
    <n v="44723"/>
    <x v="4"/>
    <n v="127244.5"/>
  </r>
  <r>
    <n v="129"/>
    <s v="Comoros"/>
    <x v="8"/>
    <n v="356630"/>
    <n v="418371"/>
    <n v="20290"/>
    <n v="66"/>
    <n v="19937"/>
    <n v="32054"/>
    <n v="27768"/>
    <x v="4"/>
    <n v="114649.5"/>
  </r>
  <r>
    <n v="130"/>
    <s v="Yemen"/>
    <x v="2"/>
    <n v="356100"/>
    <n v="313606"/>
    <n v="79273"/>
    <n v="64"/>
    <n v="41974"/>
    <n v="19988"/>
    <n v="19678"/>
    <x v="4"/>
    <n v="108713.25"/>
  </r>
  <r>
    <n v="131"/>
    <s v="Zambia"/>
    <x v="8"/>
    <n v="350240"/>
    <n v="419978"/>
    <n v="50041"/>
    <n v="63"/>
    <n v="84216"/>
    <n v="41825"/>
    <n v="19012"/>
    <x v="4"/>
    <n v="138558.75"/>
  </r>
  <r>
    <n v="132"/>
    <s v="Eswatini"/>
    <x v="8"/>
    <n v="350200"/>
    <n v="586448"/>
    <n v="57229"/>
    <n v="60"/>
    <n v="32912"/>
    <n v="14811"/>
    <n v="20145"/>
    <x v="4"/>
    <n v="169147.25"/>
  </r>
  <r>
    <n v="133"/>
    <s v="Malawi"/>
    <x v="8"/>
    <n v="342100"/>
    <n v="288206"/>
    <n v="25386"/>
    <n v="66"/>
    <n v="66127"/>
    <n v="33636"/>
    <n v="23615"/>
    <x v="4"/>
    <n v="94929.75"/>
  </r>
  <r>
    <n v="134"/>
    <s v="Botswana"/>
    <x v="8"/>
    <n v="338340"/>
    <n v="674926"/>
    <n v="59919"/>
    <n v="62"/>
    <n v="65642"/>
    <n v="3599"/>
    <n v="14271"/>
    <x v="4"/>
    <n v="200121.75"/>
  </r>
  <r>
    <n v="135"/>
    <s v="Zimbabwe"/>
    <x v="8"/>
    <n v="334110"/>
    <n v="349606"/>
    <n v="52587"/>
    <n v="62"/>
    <n v="56401"/>
    <n v="23983"/>
    <n v="22708"/>
    <x v="4"/>
    <n v="114648.5"/>
  </r>
  <r>
    <n v="136"/>
    <s v="Congo (Kinshasa)"/>
    <x v="8"/>
    <n v="329540"/>
    <n v="249318"/>
    <n v="41119"/>
    <n v="63"/>
    <n v="54754"/>
    <n v="47074"/>
    <n v="12548"/>
    <x v="4"/>
    <n v="86297.75"/>
  </r>
  <r>
    <n v="137"/>
    <s v="Sierra Leone"/>
    <x v="8"/>
    <n v="324520"/>
    <n v="305663"/>
    <n v="35012"/>
    <n v="63"/>
    <n v="54328"/>
    <n v="45249"/>
    <n v="9268"/>
    <x v="4"/>
    <n v="98750.75"/>
  </r>
  <r>
    <n v="138"/>
    <s v="Lesotho"/>
    <x v="8"/>
    <n v="318620"/>
    <n v="360103"/>
    <n v="52618"/>
    <n v="55"/>
    <n v="60601"/>
    <n v="20480"/>
    <n v="14774"/>
    <x v="4"/>
    <n v="118330.5"/>
  </r>
  <r>
    <n v="139"/>
    <s v="Lebanon"/>
    <x v="2"/>
    <n v="270650"/>
    <n v="643174"/>
    <n v="35676"/>
    <n v="72"/>
    <n v="20065"/>
    <n v="16876"/>
    <n v="5003"/>
    <x v="4"/>
    <n v="174728.75"/>
  </r>
  <r>
    <n v="140"/>
    <s v="Afghanistan"/>
    <x v="9"/>
    <n v="172100"/>
    <n v="293451"/>
    <n v="0"/>
    <n v="62"/>
    <n v="0"/>
    <n v="22638"/>
    <n v="15383"/>
    <x v="4"/>
    <n v="73362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561E4-95C0-4830-B9EF-89978FB72A7D}" name="PivotTable3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3:G34" firstHeaderRow="0" firstDataRow="1" firstDataCol="1" rowPageCount="1" colPageCount="1"/>
  <pivotFields count="12">
    <pivotField showAll="0"/>
    <pivotField showAll="0"/>
    <pivotField axis="axisRow" showAll="0">
      <items count="11">
        <item x="4"/>
        <item x="7"/>
        <item x="5"/>
        <item x="3"/>
        <item x="2"/>
        <item x="1"/>
        <item x="9"/>
        <item x="6"/>
        <item x="8"/>
        <item x="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numFmtI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0" item="4" hier="-1"/>
  </pageFields>
  <dataFields count="2">
    <dataField name="Highest Happiness" fld="3" subtotal="max" baseField="2" baseItem="0"/>
    <dataField name="Lowest Happiness" fld="3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373338-A422-4EBF-BA47-924C90B63C35}" autoFormatId="16" applyNumberFormats="0" applyBorderFormats="0" applyFontFormats="0" applyPatternFormats="0" applyAlignmentFormats="0" applyWidthHeightFormats="0">
  <queryTableRefresh nextId="12">
    <queryTableFields count="11">
      <queryTableField id="1" name="Ranking" tableColumnId="1"/>
      <queryTableField id="2" name="Country" tableColumnId="2"/>
      <queryTableField id="3" name="Regional indicator" tableColumnId="3"/>
      <queryTableField id="4" name="Happiness score" tableColumnId="4"/>
      <queryTableField id="5" name="GDP per capita" tableColumnId="5"/>
      <queryTableField id="6" name="Social support" tableColumnId="6"/>
      <queryTableField id="7" name="Healthy life expectancy" tableColumnId="7"/>
      <queryTableField id="8" name="Freedom to make life choices" tableColumnId="8"/>
      <queryTableField id="9" name="Generosity" tableColumnId="9"/>
      <queryTableField id="10" name="Perceptions of corruption" tableColumnId="10"/>
      <queryTableField id="11" name="Yea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8CC69-EAB3-474C-9936-143606115CE6}" name="world_happiness_combined" displayName="world_happiness_combined" ref="A2:K1504" tableType="queryTable" totalsRowShown="0">
  <autoFilter ref="A2:K1504" xr:uid="{F8C8CC69-EAB3-474C-9936-143606115CE6}"/>
  <sortState xmlns:xlrd2="http://schemas.microsoft.com/office/spreadsheetml/2017/richdata2" ref="A783:K1504">
    <sortCondition ref="K3:K1504"/>
    <sortCondition ref="A3:A1504"/>
  </sortState>
  <tableColumns count="11">
    <tableColumn id="1" xr3:uid="{0F5CA243-1914-4833-B90A-D98C91067AB2}" uniqueName="1" name="Ranking" queryTableFieldId="1"/>
    <tableColumn id="2" xr3:uid="{4C2CAAA4-023B-448E-8A92-B791175E6D48}" uniqueName="2" name="Country" queryTableFieldId="2" dataDxfId="16"/>
    <tableColumn id="3" xr3:uid="{D390F828-B5A2-4039-916D-60B863836440}" uniqueName="3" name="Regional indicator" queryTableFieldId="3" dataDxfId="15"/>
    <tableColumn id="4" xr3:uid="{0FEECD84-504C-429E-AF73-8F48088FD1EF}" uniqueName="4" name="Happiness score" queryTableFieldId="4"/>
    <tableColumn id="5" xr3:uid="{89101BB5-0B27-4318-90F5-02D06EDA35E5}" uniqueName="5" name="GDP per capita" queryTableFieldId="5" dataDxfId="14" dataCellStyle="Currency"/>
    <tableColumn id="6" xr3:uid="{D5CF0C71-B108-4B5A-B950-EDC8B783F0DB}" uniqueName="6" name="Social support" queryTableFieldId="6"/>
    <tableColumn id="7" xr3:uid="{A8C3ACF1-FFCA-49E2-9781-630739A43583}" uniqueName="7" name="Healthy life expectancy" queryTableFieldId="7"/>
    <tableColumn id="8" xr3:uid="{CE0DDCA8-C776-4CC7-8F4F-7D8767676F21}" uniqueName="8" name="Freedom to make life choices" queryTableFieldId="8"/>
    <tableColumn id="9" xr3:uid="{BF642B76-FA82-4807-8AC9-C7BF048495BF}" uniqueName="9" name="Generosity" queryTableFieldId="9"/>
    <tableColumn id="10" xr3:uid="{BD4DAD01-5173-488D-A3D0-B42FDA7AF647}" uniqueName="10" name="Perceptions of corruption" queryTableFieldId="10"/>
    <tableColumn id="11" xr3:uid="{A472AF6C-41C4-47B1-BD15-CB346541735F}" uniqueName="11" name="Year" queryTableFieldId="11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6C7A-5625-47A6-919E-4DA7111E2498}">
  <dimension ref="A1:K1504"/>
  <sheetViews>
    <sheetView workbookViewId="0">
      <selection activeCell="G5" sqref="G5"/>
    </sheetView>
  </sheetViews>
  <sheetFormatPr defaultRowHeight="14.4" x14ac:dyDescent="0.3"/>
  <cols>
    <col min="1" max="1" width="10" bestFit="1" customWidth="1"/>
    <col min="2" max="2" width="22.44140625" bestFit="1" customWidth="1"/>
    <col min="3" max="3" width="32.88671875" bestFit="1" customWidth="1"/>
    <col min="4" max="4" width="16.77734375" bestFit="1" customWidth="1"/>
    <col min="5" max="5" width="15.6640625" style="3" bestFit="1" customWidth="1"/>
    <col min="6" max="6" width="15.109375" bestFit="1" customWidth="1"/>
    <col min="7" max="7" width="22.88671875" bestFit="1" customWidth="1"/>
    <col min="8" max="8" width="28.109375" bestFit="1" customWidth="1"/>
    <col min="9" max="9" width="12.21875" bestFit="1" customWidth="1"/>
    <col min="10" max="10" width="25" bestFit="1" customWidth="1"/>
    <col min="11" max="11" width="6.88671875" bestFit="1" customWidth="1"/>
  </cols>
  <sheetData>
    <row r="1" spans="1:11" x14ac:dyDescent="0.3">
      <c r="A1" s="41" t="s">
        <v>229</v>
      </c>
      <c r="B1" s="41" t="s">
        <v>228</v>
      </c>
      <c r="C1" s="41"/>
      <c r="D1" s="41"/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s="3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>
        <v>1</v>
      </c>
      <c r="B3" s="1" t="s">
        <v>11</v>
      </c>
      <c r="C3" s="1" t="s">
        <v>12</v>
      </c>
      <c r="D3">
        <v>758700</v>
      </c>
      <c r="E3" s="3">
        <v>826132</v>
      </c>
      <c r="F3">
        <v>96240</v>
      </c>
      <c r="G3">
        <v>73</v>
      </c>
      <c r="H3">
        <v>99379</v>
      </c>
      <c r="I3">
        <v>37289</v>
      </c>
      <c r="J3" s="2">
        <v>23941</v>
      </c>
      <c r="K3">
        <v>2015</v>
      </c>
    </row>
    <row r="4" spans="1:11" x14ac:dyDescent="0.3">
      <c r="A4">
        <v>2</v>
      </c>
      <c r="B4" s="1" t="s">
        <v>13</v>
      </c>
      <c r="C4" s="1" t="s">
        <v>12</v>
      </c>
      <c r="D4">
        <v>756100</v>
      </c>
      <c r="E4" s="3">
        <v>770416</v>
      </c>
      <c r="F4">
        <v>100000</v>
      </c>
      <c r="G4">
        <v>73</v>
      </c>
      <c r="H4">
        <v>93884</v>
      </c>
      <c r="I4">
        <v>54819</v>
      </c>
      <c r="J4">
        <v>74371</v>
      </c>
      <c r="K4">
        <v>2015</v>
      </c>
    </row>
    <row r="5" spans="1:11" x14ac:dyDescent="0.3">
      <c r="A5">
        <v>3</v>
      </c>
      <c r="B5" s="1" t="s">
        <v>14</v>
      </c>
      <c r="C5" s="1" t="s">
        <v>12</v>
      </c>
      <c r="D5">
        <v>752700</v>
      </c>
      <c r="E5" s="3">
        <v>784114</v>
      </c>
      <c r="F5">
        <v>97030</v>
      </c>
      <c r="G5">
        <v>70</v>
      </c>
      <c r="H5">
        <v>96962</v>
      </c>
      <c r="I5">
        <v>42894</v>
      </c>
      <c r="J5">
        <v>12382</v>
      </c>
      <c r="K5">
        <v>2015</v>
      </c>
    </row>
    <row r="6" spans="1:11" x14ac:dyDescent="0.3">
      <c r="A6">
        <v>4</v>
      </c>
      <c r="B6" s="1" t="s">
        <v>15</v>
      </c>
      <c r="C6" s="1" t="s">
        <v>12</v>
      </c>
      <c r="D6">
        <v>752200</v>
      </c>
      <c r="E6" s="3">
        <v>863100</v>
      </c>
      <c r="F6">
        <v>94917</v>
      </c>
      <c r="G6">
        <v>71</v>
      </c>
      <c r="H6">
        <v>100000</v>
      </c>
      <c r="I6">
        <v>43598</v>
      </c>
      <c r="J6">
        <v>33860</v>
      </c>
      <c r="K6">
        <v>2015</v>
      </c>
    </row>
    <row r="7" spans="1:11" x14ac:dyDescent="0.3">
      <c r="A7">
        <v>5</v>
      </c>
      <c r="B7" s="1" t="s">
        <v>16</v>
      </c>
      <c r="C7" s="1" t="s">
        <v>17</v>
      </c>
      <c r="D7">
        <v>742700</v>
      </c>
      <c r="E7" s="3">
        <v>784595</v>
      </c>
      <c r="F7">
        <v>94322</v>
      </c>
      <c r="G7">
        <v>71</v>
      </c>
      <c r="H7">
        <v>94511</v>
      </c>
      <c r="I7">
        <v>57560</v>
      </c>
      <c r="J7">
        <v>40285</v>
      </c>
      <c r="K7">
        <v>2015</v>
      </c>
    </row>
    <row r="8" spans="1:11" x14ac:dyDescent="0.3">
      <c r="A8">
        <v>6</v>
      </c>
      <c r="B8" s="1" t="s">
        <v>18</v>
      </c>
      <c r="C8" s="1" t="s">
        <v>12</v>
      </c>
      <c r="D8">
        <v>740600</v>
      </c>
      <c r="E8" s="3">
        <v>763273</v>
      </c>
      <c r="F8">
        <v>94012</v>
      </c>
      <c r="G8">
        <v>71</v>
      </c>
      <c r="H8">
        <v>95813</v>
      </c>
      <c r="I8">
        <v>29339</v>
      </c>
      <c r="J8">
        <v>25039</v>
      </c>
      <c r="K8">
        <v>2015</v>
      </c>
    </row>
    <row r="9" spans="1:11" x14ac:dyDescent="0.3">
      <c r="A9">
        <v>7</v>
      </c>
      <c r="B9" s="1" t="s">
        <v>19</v>
      </c>
      <c r="C9" s="1" t="s">
        <v>12</v>
      </c>
      <c r="D9">
        <v>737800</v>
      </c>
      <c r="E9" s="3">
        <v>786460</v>
      </c>
      <c r="F9">
        <v>91295</v>
      </c>
      <c r="G9">
        <v>71</v>
      </c>
      <c r="H9">
        <v>91942</v>
      </c>
      <c r="I9">
        <v>59821</v>
      </c>
      <c r="J9">
        <v>42357</v>
      </c>
      <c r="K9">
        <v>2015</v>
      </c>
    </row>
    <row r="10" spans="1:11" x14ac:dyDescent="0.3">
      <c r="A10">
        <v>8</v>
      </c>
      <c r="B10" s="1" t="s">
        <v>20</v>
      </c>
      <c r="C10" s="1" t="s">
        <v>12</v>
      </c>
      <c r="D10">
        <v>736400</v>
      </c>
      <c r="E10" s="3">
        <v>787799</v>
      </c>
      <c r="F10">
        <v>91930</v>
      </c>
      <c r="G10">
        <v>72</v>
      </c>
      <c r="H10">
        <v>98517</v>
      </c>
      <c r="I10">
        <v>45562</v>
      </c>
      <c r="J10">
        <v>20560</v>
      </c>
      <c r="K10">
        <v>2015</v>
      </c>
    </row>
    <row r="11" spans="1:11" x14ac:dyDescent="0.3">
      <c r="A11">
        <v>9</v>
      </c>
      <c r="B11" s="1" t="s">
        <v>21</v>
      </c>
      <c r="C11" s="1" t="s">
        <v>17</v>
      </c>
      <c r="D11">
        <v>728600</v>
      </c>
      <c r="E11" s="3">
        <v>739573</v>
      </c>
      <c r="F11">
        <v>94112</v>
      </c>
      <c r="G11">
        <v>72</v>
      </c>
      <c r="H11">
        <v>95468</v>
      </c>
      <c r="I11">
        <v>59683</v>
      </c>
      <c r="J11">
        <v>22231</v>
      </c>
      <c r="K11">
        <v>2015</v>
      </c>
    </row>
    <row r="12" spans="1:11" x14ac:dyDescent="0.3">
      <c r="A12">
        <v>10</v>
      </c>
      <c r="B12" s="1" t="s">
        <v>22</v>
      </c>
      <c r="C12" s="1" t="s">
        <v>17</v>
      </c>
      <c r="D12">
        <v>728400</v>
      </c>
      <c r="E12" s="3">
        <v>788909</v>
      </c>
      <c r="F12">
        <v>93368</v>
      </c>
      <c r="G12">
        <v>72</v>
      </c>
      <c r="H12">
        <v>97239</v>
      </c>
      <c r="I12">
        <v>54734</v>
      </c>
      <c r="J12">
        <v>35431</v>
      </c>
      <c r="K12">
        <v>2015</v>
      </c>
    </row>
    <row r="13" spans="1:11" x14ac:dyDescent="0.3">
      <c r="A13">
        <v>11</v>
      </c>
      <c r="B13" s="1" t="s">
        <v>23</v>
      </c>
      <c r="C13" s="1" t="s">
        <v>24</v>
      </c>
      <c r="D13">
        <v>727800</v>
      </c>
      <c r="E13" s="3">
        <v>726786</v>
      </c>
      <c r="F13">
        <v>87285</v>
      </c>
      <c r="G13">
        <v>72</v>
      </c>
      <c r="H13">
        <v>61695</v>
      </c>
      <c r="I13">
        <v>41679</v>
      </c>
      <c r="J13">
        <v>85894</v>
      </c>
      <c r="K13">
        <v>2015</v>
      </c>
    </row>
    <row r="14" spans="1:11" x14ac:dyDescent="0.3">
      <c r="A14">
        <v>12</v>
      </c>
      <c r="B14" s="1" t="s">
        <v>25</v>
      </c>
      <c r="C14" s="1" t="s">
        <v>26</v>
      </c>
      <c r="D14">
        <v>722600</v>
      </c>
      <c r="E14" s="3">
        <v>565412</v>
      </c>
      <c r="F14">
        <v>88279</v>
      </c>
      <c r="G14">
        <v>70</v>
      </c>
      <c r="H14">
        <v>94629</v>
      </c>
      <c r="I14">
        <v>32036</v>
      </c>
      <c r="J14">
        <v>80826</v>
      </c>
      <c r="K14">
        <v>2015</v>
      </c>
    </row>
    <row r="15" spans="1:11" x14ac:dyDescent="0.3">
      <c r="A15">
        <v>13</v>
      </c>
      <c r="B15" s="1" t="s">
        <v>27</v>
      </c>
      <c r="C15" s="1" t="s">
        <v>12</v>
      </c>
      <c r="D15">
        <v>720000</v>
      </c>
      <c r="E15" s="3">
        <v>791067</v>
      </c>
      <c r="F15">
        <v>92498</v>
      </c>
      <c r="G15">
        <v>71</v>
      </c>
      <c r="H15">
        <v>93222</v>
      </c>
      <c r="I15">
        <v>41574</v>
      </c>
      <c r="J15">
        <v>66161</v>
      </c>
      <c r="K15">
        <v>2015</v>
      </c>
    </row>
    <row r="16" spans="1:11" x14ac:dyDescent="0.3">
      <c r="A16">
        <v>14</v>
      </c>
      <c r="B16" s="1" t="s">
        <v>28</v>
      </c>
      <c r="C16" s="1" t="s">
        <v>26</v>
      </c>
      <c r="D16">
        <v>718700</v>
      </c>
      <c r="E16" s="3">
        <v>603719</v>
      </c>
      <c r="F16">
        <v>65218</v>
      </c>
      <c r="G16">
        <v>68</v>
      </c>
      <c r="H16">
        <v>71941</v>
      </c>
      <c r="I16">
        <v>17683</v>
      </c>
      <c r="J16">
        <v>61385</v>
      </c>
      <c r="K16">
        <v>2015</v>
      </c>
    </row>
    <row r="17" spans="1:11" x14ac:dyDescent="0.3">
      <c r="A17">
        <v>15</v>
      </c>
      <c r="B17" s="1" t="s">
        <v>29</v>
      </c>
      <c r="C17" s="1" t="s">
        <v>17</v>
      </c>
      <c r="D17">
        <v>711900</v>
      </c>
      <c r="E17" s="3">
        <v>824951</v>
      </c>
      <c r="F17">
        <v>88938</v>
      </c>
      <c r="G17">
        <v>70</v>
      </c>
      <c r="H17">
        <v>81530</v>
      </c>
      <c r="I17">
        <v>50391</v>
      </c>
      <c r="J17">
        <v>71210</v>
      </c>
      <c r="K17">
        <v>2015</v>
      </c>
    </row>
    <row r="18" spans="1:11" x14ac:dyDescent="0.3">
      <c r="A18">
        <v>16</v>
      </c>
      <c r="B18" s="1" t="s">
        <v>30</v>
      </c>
      <c r="C18" s="1" t="s">
        <v>26</v>
      </c>
      <c r="D18">
        <v>698300</v>
      </c>
      <c r="E18" s="3">
        <v>580471</v>
      </c>
      <c r="F18">
        <v>87922</v>
      </c>
      <c r="G18">
        <v>64</v>
      </c>
      <c r="H18">
        <v>73237</v>
      </c>
      <c r="I18">
        <v>18312</v>
      </c>
      <c r="J18">
        <v>68253</v>
      </c>
      <c r="K18">
        <v>2015</v>
      </c>
    </row>
    <row r="19" spans="1:11" x14ac:dyDescent="0.3">
      <c r="A19">
        <v>17</v>
      </c>
      <c r="B19" s="1" t="s">
        <v>31</v>
      </c>
      <c r="C19" s="1" t="s">
        <v>12</v>
      </c>
      <c r="D19">
        <v>694600</v>
      </c>
      <c r="E19" s="3">
        <v>925162</v>
      </c>
      <c r="F19">
        <v>86977</v>
      </c>
      <c r="G19">
        <v>72</v>
      </c>
      <c r="H19">
        <v>91952</v>
      </c>
      <c r="I19">
        <v>35223</v>
      </c>
      <c r="J19">
        <v>31515</v>
      </c>
      <c r="K19">
        <v>2015</v>
      </c>
    </row>
    <row r="20" spans="1:11" x14ac:dyDescent="0.3">
      <c r="A20">
        <v>18</v>
      </c>
      <c r="B20" s="1" t="s">
        <v>32</v>
      </c>
      <c r="C20" s="1" t="s">
        <v>12</v>
      </c>
      <c r="D20">
        <v>694000</v>
      </c>
      <c r="E20" s="3">
        <v>790313</v>
      </c>
      <c r="F20">
        <v>97664</v>
      </c>
      <c r="G20">
        <v>71</v>
      </c>
      <c r="H20">
        <v>92242</v>
      </c>
      <c r="I20">
        <v>57673</v>
      </c>
      <c r="J20">
        <v>47994</v>
      </c>
      <c r="K20">
        <v>2015</v>
      </c>
    </row>
    <row r="21" spans="1:11" x14ac:dyDescent="0.3">
      <c r="A21">
        <v>19</v>
      </c>
      <c r="B21" s="1" t="s">
        <v>33</v>
      </c>
      <c r="C21" s="1" t="s">
        <v>12</v>
      </c>
      <c r="D21">
        <v>693700</v>
      </c>
      <c r="E21" s="3">
        <v>773666</v>
      </c>
      <c r="F21">
        <v>91687</v>
      </c>
      <c r="G21">
        <v>71</v>
      </c>
      <c r="H21">
        <v>87274</v>
      </c>
      <c r="I21">
        <v>27956</v>
      </c>
      <c r="J21">
        <v>59161</v>
      </c>
      <c r="K21">
        <v>2015</v>
      </c>
    </row>
    <row r="22" spans="1:11" x14ac:dyDescent="0.3">
      <c r="A22">
        <v>20</v>
      </c>
      <c r="B22" s="1" t="s">
        <v>34</v>
      </c>
      <c r="C22" s="1" t="s">
        <v>24</v>
      </c>
      <c r="D22">
        <v>690100</v>
      </c>
      <c r="E22" s="3">
        <v>844328</v>
      </c>
      <c r="F22">
        <v>80283</v>
      </c>
      <c r="G22">
        <v>68</v>
      </c>
      <c r="H22">
        <v>95795</v>
      </c>
      <c r="I22">
        <v>33205</v>
      </c>
      <c r="J22">
        <v>30091</v>
      </c>
      <c r="K22">
        <v>2015</v>
      </c>
    </row>
    <row r="23" spans="1:11" x14ac:dyDescent="0.3">
      <c r="A23">
        <v>21</v>
      </c>
      <c r="B23" s="1" t="s">
        <v>35</v>
      </c>
      <c r="C23" s="1" t="s">
        <v>12</v>
      </c>
      <c r="D23">
        <v>686700</v>
      </c>
      <c r="E23" s="3">
        <v>749150</v>
      </c>
      <c r="F23">
        <v>91674</v>
      </c>
      <c r="G23">
        <v>72</v>
      </c>
      <c r="H23">
        <v>89029</v>
      </c>
      <c r="I23">
        <v>65226</v>
      </c>
      <c r="J23">
        <v>41899</v>
      </c>
      <c r="K23">
        <v>2015</v>
      </c>
    </row>
    <row r="24" spans="1:11" x14ac:dyDescent="0.3">
      <c r="A24">
        <v>22</v>
      </c>
      <c r="B24" s="1" t="s">
        <v>36</v>
      </c>
      <c r="C24" s="1" t="s">
        <v>24</v>
      </c>
      <c r="D24">
        <v>685300</v>
      </c>
      <c r="E24" s="3">
        <v>804603</v>
      </c>
      <c r="F24">
        <v>77150</v>
      </c>
      <c r="G24">
        <v>66</v>
      </c>
      <c r="H24">
        <v>94476</v>
      </c>
      <c r="I24">
        <v>27067</v>
      </c>
      <c r="J24">
        <v>41070</v>
      </c>
      <c r="K24">
        <v>2015</v>
      </c>
    </row>
    <row r="25" spans="1:11" x14ac:dyDescent="0.3">
      <c r="A25">
        <v>23</v>
      </c>
      <c r="B25" s="1" t="s">
        <v>37</v>
      </c>
      <c r="C25" s="1" t="s">
        <v>26</v>
      </c>
      <c r="D25">
        <v>681000</v>
      </c>
      <c r="E25" s="3">
        <v>617740</v>
      </c>
      <c r="F25">
        <v>89569</v>
      </c>
      <c r="G25">
        <v>65</v>
      </c>
      <c r="H25">
        <v>64068</v>
      </c>
      <c r="I25">
        <v>7339</v>
      </c>
      <c r="J25">
        <v>79944</v>
      </c>
      <c r="K25">
        <v>2015</v>
      </c>
    </row>
    <row r="26" spans="1:11" x14ac:dyDescent="0.3">
      <c r="A26">
        <v>24</v>
      </c>
      <c r="B26" s="1" t="s">
        <v>38</v>
      </c>
      <c r="C26" s="1" t="s">
        <v>39</v>
      </c>
      <c r="D26">
        <v>679800</v>
      </c>
      <c r="E26" s="3">
        <v>900287</v>
      </c>
      <c r="F26">
        <v>72741</v>
      </c>
      <c r="G26">
        <v>76</v>
      </c>
      <c r="H26">
        <v>81005</v>
      </c>
      <c r="I26">
        <v>39082</v>
      </c>
      <c r="J26">
        <v>10837</v>
      </c>
      <c r="K26">
        <v>2015</v>
      </c>
    </row>
    <row r="27" spans="1:11" x14ac:dyDescent="0.3">
      <c r="A27">
        <v>25</v>
      </c>
      <c r="B27" s="1" t="s">
        <v>40</v>
      </c>
      <c r="C27" s="1" t="s">
        <v>26</v>
      </c>
      <c r="D27">
        <v>678600</v>
      </c>
      <c r="E27" s="3">
        <v>629152</v>
      </c>
      <c r="F27">
        <v>85471</v>
      </c>
      <c r="G27">
        <v>68</v>
      </c>
      <c r="H27">
        <v>80943</v>
      </c>
      <c r="I27">
        <v>30700</v>
      </c>
      <c r="J27">
        <v>83204</v>
      </c>
      <c r="K27">
        <v>2015</v>
      </c>
    </row>
    <row r="28" spans="1:11" x14ac:dyDescent="0.3">
      <c r="A28">
        <v>26</v>
      </c>
      <c r="B28" s="1" t="s">
        <v>41</v>
      </c>
      <c r="C28" s="1" t="s">
        <v>12</v>
      </c>
      <c r="D28">
        <v>675000</v>
      </c>
      <c r="E28" s="3">
        <v>785560</v>
      </c>
      <c r="F28">
        <v>92665</v>
      </c>
      <c r="G28">
        <v>71</v>
      </c>
      <c r="H28">
        <v>91794</v>
      </c>
      <c r="I28">
        <v>35450</v>
      </c>
      <c r="J28">
        <v>60423</v>
      </c>
      <c r="K28">
        <v>2015</v>
      </c>
    </row>
    <row r="29" spans="1:11" x14ac:dyDescent="0.3">
      <c r="A29">
        <v>27</v>
      </c>
      <c r="B29" s="1" t="s">
        <v>42</v>
      </c>
      <c r="C29" s="1" t="s">
        <v>26</v>
      </c>
      <c r="D29">
        <v>667000</v>
      </c>
      <c r="E29" s="3">
        <v>654959</v>
      </c>
      <c r="F29">
        <v>80191</v>
      </c>
      <c r="G29">
        <v>70</v>
      </c>
      <c r="H29">
        <v>65895</v>
      </c>
      <c r="I29">
        <v>41920</v>
      </c>
      <c r="J29">
        <v>76683</v>
      </c>
      <c r="K29">
        <v>2015</v>
      </c>
    </row>
    <row r="30" spans="1:11" x14ac:dyDescent="0.3">
      <c r="A30">
        <v>28</v>
      </c>
      <c r="B30" s="1" t="s">
        <v>43</v>
      </c>
      <c r="C30" s="1" t="s">
        <v>24</v>
      </c>
      <c r="D30">
        <v>661100</v>
      </c>
      <c r="E30" s="3">
        <v>1000000</v>
      </c>
      <c r="F30">
        <v>76920</v>
      </c>
      <c r="G30">
        <v>68</v>
      </c>
      <c r="H30">
        <v>95620</v>
      </c>
      <c r="I30">
        <v>40927</v>
      </c>
      <c r="J30">
        <v>5406</v>
      </c>
      <c r="K30">
        <v>2015</v>
      </c>
    </row>
    <row r="31" spans="1:11" x14ac:dyDescent="0.3">
      <c r="A31">
        <v>29</v>
      </c>
      <c r="B31" s="1" t="s">
        <v>44</v>
      </c>
      <c r="C31" s="1" t="s">
        <v>12</v>
      </c>
      <c r="D31">
        <v>657500</v>
      </c>
      <c r="E31" s="3">
        <v>755899</v>
      </c>
      <c r="F31">
        <v>89884</v>
      </c>
      <c r="G31">
        <v>73</v>
      </c>
      <c r="H31">
        <v>82139</v>
      </c>
      <c r="I31">
        <v>15494</v>
      </c>
      <c r="J31">
        <v>62592</v>
      </c>
      <c r="K31">
        <v>2015</v>
      </c>
    </row>
    <row r="32" spans="1:11" x14ac:dyDescent="0.3">
      <c r="A32">
        <v>30</v>
      </c>
      <c r="B32" s="1" t="s">
        <v>45</v>
      </c>
      <c r="C32" s="1" t="s">
        <v>26</v>
      </c>
      <c r="D32">
        <v>657400</v>
      </c>
      <c r="E32" s="3">
        <v>623223</v>
      </c>
      <c r="F32">
        <v>89018</v>
      </c>
      <c r="G32">
        <v>67</v>
      </c>
      <c r="H32">
        <v>67152</v>
      </c>
      <c r="I32">
        <v>14388</v>
      </c>
      <c r="J32">
        <v>84629</v>
      </c>
      <c r="K32">
        <v>2015</v>
      </c>
    </row>
    <row r="33" spans="1:11" x14ac:dyDescent="0.3">
      <c r="A33">
        <v>31</v>
      </c>
      <c r="B33" s="1" t="s">
        <v>46</v>
      </c>
      <c r="C33" s="1" t="s">
        <v>47</v>
      </c>
      <c r="D33">
        <v>650500</v>
      </c>
      <c r="E33" s="3">
        <v>697451</v>
      </c>
      <c r="F33">
        <v>86037</v>
      </c>
      <c r="G33">
        <v>69</v>
      </c>
      <c r="H33">
        <v>69228</v>
      </c>
      <c r="I33">
        <v>13426</v>
      </c>
      <c r="J33">
        <v>95195</v>
      </c>
      <c r="K33">
        <v>2015</v>
      </c>
    </row>
    <row r="34" spans="1:11" x14ac:dyDescent="0.3">
      <c r="A34">
        <v>32</v>
      </c>
      <c r="B34" s="1" t="s">
        <v>48</v>
      </c>
      <c r="C34" s="1" t="s">
        <v>26</v>
      </c>
      <c r="D34">
        <v>648500</v>
      </c>
      <c r="E34" s="3">
        <v>628049</v>
      </c>
      <c r="F34">
        <v>86213</v>
      </c>
      <c r="G34">
        <v>68</v>
      </c>
      <c r="H34">
        <v>90129</v>
      </c>
      <c r="I34">
        <v>29200</v>
      </c>
      <c r="J34">
        <v>55504</v>
      </c>
      <c r="K34">
        <v>2015</v>
      </c>
    </row>
    <row r="35" spans="1:11" x14ac:dyDescent="0.3">
      <c r="A35">
        <v>33</v>
      </c>
      <c r="B35" s="1" t="s">
        <v>49</v>
      </c>
      <c r="C35" s="1" t="s">
        <v>26</v>
      </c>
      <c r="D35">
        <v>647700</v>
      </c>
      <c r="E35" s="3">
        <v>543424</v>
      </c>
      <c r="F35">
        <v>88444</v>
      </c>
      <c r="G35">
        <v>64</v>
      </c>
      <c r="H35">
        <v>79832</v>
      </c>
      <c r="I35">
        <v>23120</v>
      </c>
      <c r="J35">
        <v>90723</v>
      </c>
      <c r="K35">
        <v>2015</v>
      </c>
    </row>
    <row r="36" spans="1:11" x14ac:dyDescent="0.3">
      <c r="A36">
        <v>34</v>
      </c>
      <c r="B36" s="1" t="s">
        <v>50</v>
      </c>
      <c r="C36" s="1" t="s">
        <v>39</v>
      </c>
      <c r="D36">
        <v>645500</v>
      </c>
      <c r="E36" s="3">
        <v>571991</v>
      </c>
      <c r="F36">
        <v>90217</v>
      </c>
      <c r="G36">
        <v>65</v>
      </c>
      <c r="H36">
        <v>83114</v>
      </c>
      <c r="I36">
        <v>72411</v>
      </c>
      <c r="J36">
        <v>94226</v>
      </c>
      <c r="K36">
        <v>2015</v>
      </c>
    </row>
    <row r="37" spans="1:11" x14ac:dyDescent="0.3">
      <c r="A37">
        <v>35</v>
      </c>
      <c r="B37" s="1" t="s">
        <v>51</v>
      </c>
      <c r="C37" s="1" t="s">
        <v>24</v>
      </c>
      <c r="D37">
        <v>641100</v>
      </c>
      <c r="E37" s="3">
        <v>825484</v>
      </c>
      <c r="F37">
        <v>77300</v>
      </c>
      <c r="G37">
        <v>65</v>
      </c>
      <c r="H37">
        <v>46359</v>
      </c>
      <c r="I37">
        <v>17221</v>
      </c>
      <c r="J37">
        <v>41070</v>
      </c>
      <c r="K37">
        <v>2015</v>
      </c>
    </row>
    <row r="38" spans="1:11" x14ac:dyDescent="0.3">
      <c r="A38">
        <v>36</v>
      </c>
      <c r="B38" s="1" t="s">
        <v>52</v>
      </c>
      <c r="C38" s="1" t="s">
        <v>12</v>
      </c>
      <c r="D38">
        <v>632900</v>
      </c>
      <c r="E38" s="3">
        <v>727700</v>
      </c>
      <c r="F38">
        <v>93693</v>
      </c>
      <c r="G38">
        <v>73</v>
      </c>
      <c r="H38">
        <v>68610</v>
      </c>
      <c r="I38">
        <v>22902</v>
      </c>
      <c r="J38">
        <v>88407</v>
      </c>
      <c r="K38">
        <v>2015</v>
      </c>
    </row>
    <row r="39" spans="1:11" x14ac:dyDescent="0.3">
      <c r="A39">
        <v>37</v>
      </c>
      <c r="B39" s="1" t="s">
        <v>53</v>
      </c>
      <c r="C39" s="1" t="s">
        <v>12</v>
      </c>
      <c r="D39">
        <v>630200</v>
      </c>
      <c r="E39" s="3">
        <v>714263</v>
      </c>
      <c r="F39">
        <v>92854</v>
      </c>
      <c r="G39">
        <v>71</v>
      </c>
      <c r="H39">
        <v>90133</v>
      </c>
      <c r="I39">
        <v>65024</v>
      </c>
      <c r="J39">
        <v>75385</v>
      </c>
      <c r="K39">
        <v>2015</v>
      </c>
    </row>
    <row r="40" spans="1:11" x14ac:dyDescent="0.3">
      <c r="A40">
        <v>38</v>
      </c>
      <c r="B40" s="1" t="s">
        <v>54</v>
      </c>
      <c r="C40" s="1" t="s">
        <v>55</v>
      </c>
      <c r="D40">
        <v>629800</v>
      </c>
      <c r="E40" s="3">
        <v>763708</v>
      </c>
      <c r="F40">
        <v>76747</v>
      </c>
      <c r="G40">
        <v>70</v>
      </c>
      <c r="H40">
        <v>59338</v>
      </c>
      <c r="I40">
        <v>31884</v>
      </c>
      <c r="J40">
        <v>85271</v>
      </c>
      <c r="K40">
        <v>2015</v>
      </c>
    </row>
    <row r="41" spans="1:11" x14ac:dyDescent="0.3">
      <c r="A41">
        <v>39</v>
      </c>
      <c r="B41" s="1" t="s">
        <v>56</v>
      </c>
      <c r="C41" s="1" t="s">
        <v>24</v>
      </c>
      <c r="D41">
        <v>629500</v>
      </c>
      <c r="E41" s="3">
        <v>919429</v>
      </c>
      <c r="F41">
        <v>83149</v>
      </c>
      <c r="G41">
        <v>65</v>
      </c>
      <c r="H41">
        <v>82868</v>
      </c>
      <c r="I41">
        <v>20390</v>
      </c>
      <c r="J41">
        <v>53599</v>
      </c>
      <c r="K41">
        <v>2015</v>
      </c>
    </row>
    <row r="42" spans="1:11" x14ac:dyDescent="0.3">
      <c r="A42">
        <v>40</v>
      </c>
      <c r="B42" s="1" t="s">
        <v>57</v>
      </c>
      <c r="C42" s="1" t="s">
        <v>26</v>
      </c>
      <c r="D42">
        <v>626900</v>
      </c>
      <c r="E42" s="3">
        <v>588815</v>
      </c>
      <c r="F42">
        <v>69318</v>
      </c>
      <c r="G42">
        <v>61</v>
      </c>
      <c r="H42">
        <v>89076</v>
      </c>
      <c r="I42">
        <v>21348</v>
      </c>
      <c r="J42">
        <v>75298</v>
      </c>
      <c r="K42">
        <v>2015</v>
      </c>
    </row>
    <row r="43" spans="1:11" x14ac:dyDescent="0.3">
      <c r="A43">
        <v>41</v>
      </c>
      <c r="B43" s="1" t="s">
        <v>58</v>
      </c>
      <c r="C43" s="1" t="s">
        <v>26</v>
      </c>
      <c r="D43">
        <v>616800</v>
      </c>
      <c r="E43" s="3">
        <v>716886</v>
      </c>
      <c r="F43">
        <v>84404</v>
      </c>
      <c r="G43">
        <v>61</v>
      </c>
      <c r="H43">
        <v>83443</v>
      </c>
      <c r="I43">
        <v>40010</v>
      </c>
      <c r="J43">
        <v>97934</v>
      </c>
      <c r="K43">
        <v>2015</v>
      </c>
    </row>
    <row r="44" spans="1:11" x14ac:dyDescent="0.3">
      <c r="A44">
        <v>42</v>
      </c>
      <c r="B44" s="1" t="s">
        <v>59</v>
      </c>
      <c r="C44" s="1" t="s">
        <v>26</v>
      </c>
      <c r="D44">
        <v>613000</v>
      </c>
      <c r="E44" s="3">
        <v>452282</v>
      </c>
      <c r="F44">
        <v>73103</v>
      </c>
      <c r="G44">
        <v>63</v>
      </c>
      <c r="H44">
        <v>60248</v>
      </c>
      <c r="I44">
        <v>13435</v>
      </c>
      <c r="J44">
        <v>78663</v>
      </c>
      <c r="K44">
        <v>2015</v>
      </c>
    </row>
    <row r="45" spans="1:11" x14ac:dyDescent="0.3">
      <c r="A45">
        <v>43</v>
      </c>
      <c r="B45" s="1" t="s">
        <v>60</v>
      </c>
      <c r="C45" s="1" t="s">
        <v>26</v>
      </c>
      <c r="D45">
        <v>612300</v>
      </c>
      <c r="E45" s="3">
        <v>441035</v>
      </c>
      <c r="F45">
        <v>74422</v>
      </c>
      <c r="G45">
        <v>62</v>
      </c>
      <c r="H45">
        <v>86203</v>
      </c>
      <c r="I45">
        <v>34539</v>
      </c>
      <c r="J45">
        <v>82838</v>
      </c>
      <c r="K45">
        <v>2015</v>
      </c>
    </row>
    <row r="46" spans="1:11" x14ac:dyDescent="0.3">
      <c r="A46">
        <v>44</v>
      </c>
      <c r="B46" s="1" t="s">
        <v>61</v>
      </c>
      <c r="C46" s="1" t="s">
        <v>62</v>
      </c>
      <c r="D46">
        <v>600300</v>
      </c>
      <c r="E46" s="3">
        <v>374131</v>
      </c>
      <c r="F46">
        <v>95593</v>
      </c>
      <c r="G46">
        <v>60</v>
      </c>
      <c r="H46">
        <v>98280</v>
      </c>
      <c r="I46">
        <v>28694</v>
      </c>
      <c r="J46">
        <v>44147</v>
      </c>
      <c r="K46">
        <v>2015</v>
      </c>
    </row>
    <row r="47" spans="1:11" x14ac:dyDescent="0.3">
      <c r="A47">
        <v>45</v>
      </c>
      <c r="B47" s="1" t="s">
        <v>63</v>
      </c>
      <c r="C47" s="1" t="s">
        <v>47</v>
      </c>
      <c r="D47">
        <v>599500</v>
      </c>
      <c r="E47" s="3">
        <v>691492</v>
      </c>
      <c r="F47">
        <v>90569</v>
      </c>
      <c r="G47">
        <v>67</v>
      </c>
      <c r="H47">
        <v>47409</v>
      </c>
      <c r="I47">
        <v>21225</v>
      </c>
      <c r="J47">
        <v>93784</v>
      </c>
      <c r="K47">
        <v>2015</v>
      </c>
    </row>
    <row r="48" spans="1:11" x14ac:dyDescent="0.3">
      <c r="A48">
        <v>46</v>
      </c>
      <c r="B48" s="1" t="s">
        <v>64</v>
      </c>
      <c r="C48" s="1" t="s">
        <v>55</v>
      </c>
      <c r="D48">
        <v>598700</v>
      </c>
      <c r="E48" s="3">
        <v>751730</v>
      </c>
      <c r="F48">
        <v>89651</v>
      </c>
      <c r="G48">
        <v>75</v>
      </c>
      <c r="H48">
        <v>74081</v>
      </c>
      <c r="I48">
        <v>13451</v>
      </c>
      <c r="J48">
        <v>67277</v>
      </c>
      <c r="K48">
        <v>2015</v>
      </c>
    </row>
    <row r="49" spans="1:11" x14ac:dyDescent="0.3">
      <c r="A49">
        <v>47</v>
      </c>
      <c r="B49" s="1" t="s">
        <v>65</v>
      </c>
      <c r="C49" s="1" t="s">
        <v>55</v>
      </c>
      <c r="D49">
        <v>598400</v>
      </c>
      <c r="E49" s="3">
        <v>736272</v>
      </c>
      <c r="F49">
        <v>68301</v>
      </c>
      <c r="G49">
        <v>74</v>
      </c>
      <c r="H49">
        <v>49585</v>
      </c>
      <c r="I49">
        <v>23316</v>
      </c>
      <c r="J49">
        <v>85764</v>
      </c>
      <c r="K49">
        <v>2015</v>
      </c>
    </row>
    <row r="50" spans="1:11" x14ac:dyDescent="0.3">
      <c r="A50">
        <v>48</v>
      </c>
      <c r="B50" s="1" t="s">
        <v>66</v>
      </c>
      <c r="C50" s="1" t="s">
        <v>26</v>
      </c>
      <c r="D50">
        <v>597500</v>
      </c>
      <c r="E50" s="3">
        <v>511130</v>
      </c>
      <c r="F50">
        <v>71246</v>
      </c>
      <c r="G50">
        <v>67</v>
      </c>
      <c r="H50">
        <v>72528</v>
      </c>
      <c r="I50">
        <v>14501</v>
      </c>
      <c r="J50">
        <v>67224</v>
      </c>
      <c r="K50">
        <v>2015</v>
      </c>
    </row>
    <row r="51" spans="1:11" x14ac:dyDescent="0.3">
      <c r="A51">
        <v>49</v>
      </c>
      <c r="B51" s="1" t="s">
        <v>67</v>
      </c>
      <c r="C51" s="1" t="s">
        <v>24</v>
      </c>
      <c r="D51">
        <v>596000</v>
      </c>
      <c r="E51" s="3">
        <v>783099</v>
      </c>
      <c r="F51">
        <v>86736</v>
      </c>
      <c r="G51">
        <v>66</v>
      </c>
      <c r="H51">
        <v>67925</v>
      </c>
      <c r="I51">
        <v>21815</v>
      </c>
      <c r="J51">
        <v>44557</v>
      </c>
      <c r="K51">
        <v>2015</v>
      </c>
    </row>
    <row r="52" spans="1:11" x14ac:dyDescent="0.3">
      <c r="A52">
        <v>50</v>
      </c>
      <c r="B52" s="1" t="s">
        <v>68</v>
      </c>
      <c r="C52" s="1" t="s">
        <v>12</v>
      </c>
      <c r="D52">
        <v>594800</v>
      </c>
      <c r="E52" s="3">
        <v>740136</v>
      </c>
      <c r="F52">
        <v>85419</v>
      </c>
      <c r="G52">
        <v>73</v>
      </c>
      <c r="H52">
        <v>39174</v>
      </c>
      <c r="I52">
        <v>28676</v>
      </c>
      <c r="J52">
        <v>94744</v>
      </c>
      <c r="K52">
        <v>2015</v>
      </c>
    </row>
    <row r="53" spans="1:11" x14ac:dyDescent="0.3">
      <c r="A53">
        <v>51</v>
      </c>
      <c r="B53" s="1" t="s">
        <v>69</v>
      </c>
      <c r="C53" s="1" t="s">
        <v>26</v>
      </c>
      <c r="D53">
        <v>589000</v>
      </c>
      <c r="E53" s="3">
        <v>403057</v>
      </c>
      <c r="F53">
        <v>69775</v>
      </c>
      <c r="G53">
        <v>58</v>
      </c>
      <c r="H53">
        <v>85727</v>
      </c>
      <c r="I53">
        <v>25803</v>
      </c>
      <c r="J53">
        <v>84056</v>
      </c>
      <c r="K53">
        <v>2015</v>
      </c>
    </row>
    <row r="54" spans="1:11" x14ac:dyDescent="0.3">
      <c r="A54">
        <v>52</v>
      </c>
      <c r="B54" s="1" t="s">
        <v>70</v>
      </c>
      <c r="C54" s="1" t="s">
        <v>62</v>
      </c>
      <c r="D54">
        <v>588900</v>
      </c>
      <c r="E54" s="3">
        <v>351674</v>
      </c>
      <c r="F54">
        <v>72404</v>
      </c>
      <c r="G54">
        <v>61</v>
      </c>
      <c r="H54">
        <v>49002</v>
      </c>
      <c r="I54">
        <v>26325</v>
      </c>
      <c r="J54">
        <v>97074</v>
      </c>
      <c r="K54">
        <v>2015</v>
      </c>
    </row>
    <row r="55" spans="1:11" x14ac:dyDescent="0.3">
      <c r="A55">
        <v>53</v>
      </c>
      <c r="B55" s="1" t="s">
        <v>71</v>
      </c>
      <c r="C55" s="1" t="s">
        <v>26</v>
      </c>
      <c r="D55">
        <v>587800</v>
      </c>
      <c r="E55" s="3">
        <v>449503</v>
      </c>
      <c r="F55">
        <v>93050</v>
      </c>
      <c r="G55">
        <v>63</v>
      </c>
      <c r="H55">
        <v>80478</v>
      </c>
      <c r="I55">
        <v>43021</v>
      </c>
      <c r="J55">
        <v>85067</v>
      </c>
      <c r="K55">
        <v>2015</v>
      </c>
    </row>
    <row r="56" spans="1:11" x14ac:dyDescent="0.3">
      <c r="A56">
        <v>54</v>
      </c>
      <c r="B56" s="1" t="s">
        <v>72</v>
      </c>
      <c r="C56" s="1" t="s">
        <v>62</v>
      </c>
      <c r="D56">
        <v>585500</v>
      </c>
      <c r="E56" s="3">
        <v>664062</v>
      </c>
      <c r="F56">
        <v>80045</v>
      </c>
      <c r="G56">
        <v>62</v>
      </c>
      <c r="H56">
        <v>77119</v>
      </c>
      <c r="I56">
        <v>14860</v>
      </c>
      <c r="J56">
        <v>84683</v>
      </c>
      <c r="K56">
        <v>2015</v>
      </c>
    </row>
    <row r="57" spans="1:11" x14ac:dyDescent="0.3">
      <c r="A57">
        <v>55</v>
      </c>
      <c r="B57" s="1" t="s">
        <v>73</v>
      </c>
      <c r="C57" s="1" t="s">
        <v>47</v>
      </c>
      <c r="D57">
        <v>584800</v>
      </c>
      <c r="E57" s="3">
        <v>700998</v>
      </c>
      <c r="F57">
        <v>90844</v>
      </c>
      <c r="G57">
        <v>70</v>
      </c>
      <c r="H57">
        <v>90865</v>
      </c>
      <c r="I57">
        <v>31824</v>
      </c>
      <c r="J57">
        <v>93139</v>
      </c>
      <c r="K57">
        <v>2015</v>
      </c>
    </row>
    <row r="58" spans="1:11" x14ac:dyDescent="0.3">
      <c r="A58">
        <v>56</v>
      </c>
      <c r="B58" s="1" t="s">
        <v>74</v>
      </c>
      <c r="C58" s="1" t="s">
        <v>47</v>
      </c>
      <c r="D58">
        <v>583300</v>
      </c>
      <c r="E58" s="3">
        <v>678670</v>
      </c>
      <c r="F58">
        <v>89675</v>
      </c>
      <c r="G58">
        <v>65</v>
      </c>
      <c r="H58">
        <v>31867</v>
      </c>
      <c r="I58">
        <v>3318</v>
      </c>
      <c r="J58">
        <v>98131</v>
      </c>
      <c r="K58">
        <v>2015</v>
      </c>
    </row>
    <row r="59" spans="1:11" x14ac:dyDescent="0.3">
      <c r="A59">
        <v>57</v>
      </c>
      <c r="B59" s="1" t="s">
        <v>75</v>
      </c>
      <c r="C59" s="1" t="s">
        <v>26</v>
      </c>
      <c r="D59">
        <v>582800</v>
      </c>
      <c r="E59" s="3">
        <v>350947</v>
      </c>
      <c r="F59">
        <v>81430</v>
      </c>
      <c r="G59">
        <v>66</v>
      </c>
      <c r="H59">
        <v>82831</v>
      </c>
      <c r="I59">
        <v>34949</v>
      </c>
      <c r="J59">
        <v>65000</v>
      </c>
      <c r="K59">
        <v>2015</v>
      </c>
    </row>
    <row r="60" spans="1:11" x14ac:dyDescent="0.3">
      <c r="A60">
        <v>58</v>
      </c>
      <c r="B60" s="1" t="s">
        <v>76</v>
      </c>
      <c r="C60" s="1" t="s">
        <v>26</v>
      </c>
      <c r="D60">
        <v>582400</v>
      </c>
      <c r="E60" s="3">
        <v>532525</v>
      </c>
      <c r="F60">
        <v>69503</v>
      </c>
      <c r="G60">
        <v>65</v>
      </c>
      <c r="H60">
        <v>61959</v>
      </c>
      <c r="I60">
        <v>18824</v>
      </c>
      <c r="J60">
        <v>89148</v>
      </c>
      <c r="K60">
        <v>2015</v>
      </c>
    </row>
    <row r="61" spans="1:11" x14ac:dyDescent="0.3">
      <c r="A61">
        <v>59</v>
      </c>
      <c r="B61" s="1" t="s">
        <v>77</v>
      </c>
      <c r="C61" s="1" t="s">
        <v>62</v>
      </c>
      <c r="D61">
        <v>581300</v>
      </c>
      <c r="E61" s="3">
        <v>610455</v>
      </c>
      <c r="F61">
        <v>87923</v>
      </c>
      <c r="G61">
        <v>65</v>
      </c>
      <c r="H61">
        <v>56646</v>
      </c>
      <c r="I61">
        <v>13879</v>
      </c>
      <c r="J61">
        <v>65411</v>
      </c>
      <c r="K61">
        <v>2015</v>
      </c>
    </row>
    <row r="62" spans="1:11" x14ac:dyDescent="0.3">
      <c r="A62">
        <v>60</v>
      </c>
      <c r="B62" s="1" t="s">
        <v>78</v>
      </c>
      <c r="C62" s="1" t="s">
        <v>47</v>
      </c>
      <c r="D62">
        <v>579100</v>
      </c>
      <c r="E62" s="3">
        <v>665842</v>
      </c>
      <c r="F62">
        <v>91246</v>
      </c>
      <c r="G62">
        <v>67</v>
      </c>
      <c r="H62">
        <v>79318</v>
      </c>
      <c r="I62">
        <v>21057</v>
      </c>
      <c r="J62">
        <v>92369</v>
      </c>
      <c r="K62">
        <v>2015</v>
      </c>
    </row>
    <row r="63" spans="1:11" x14ac:dyDescent="0.3">
      <c r="A63">
        <v>61</v>
      </c>
      <c r="B63" s="1" t="s">
        <v>79</v>
      </c>
      <c r="C63" s="1" t="s">
        <v>39</v>
      </c>
      <c r="D63">
        <v>577000</v>
      </c>
      <c r="E63" s="3">
        <v>665435</v>
      </c>
      <c r="F63">
        <v>76323</v>
      </c>
      <c r="G63">
        <v>65</v>
      </c>
      <c r="H63">
        <v>79172</v>
      </c>
      <c r="I63">
        <v>41558</v>
      </c>
      <c r="J63">
        <v>80974</v>
      </c>
      <c r="K63">
        <v>2015</v>
      </c>
    </row>
    <row r="64" spans="1:11" x14ac:dyDescent="0.3">
      <c r="A64">
        <v>62</v>
      </c>
      <c r="B64" s="1" t="s">
        <v>80</v>
      </c>
      <c r="C64" s="1" t="s">
        <v>47</v>
      </c>
      <c r="D64">
        <v>575900</v>
      </c>
      <c r="E64" s="3">
        <v>640398</v>
      </c>
      <c r="F64">
        <v>56784</v>
      </c>
      <c r="G64">
        <v>67</v>
      </c>
      <c r="H64">
        <v>38647</v>
      </c>
      <c r="I64">
        <v>6840</v>
      </c>
      <c r="J64">
        <v>95597</v>
      </c>
      <c r="K64">
        <v>2015</v>
      </c>
    </row>
    <row r="65" spans="1:11" x14ac:dyDescent="0.3">
      <c r="A65">
        <v>63</v>
      </c>
      <c r="B65" s="1" t="s">
        <v>81</v>
      </c>
      <c r="C65" s="1" t="s">
        <v>24</v>
      </c>
      <c r="D65">
        <v>575400</v>
      </c>
      <c r="E65" s="3">
        <v>669330</v>
      </c>
      <c r="F65">
        <v>79774</v>
      </c>
      <c r="G65">
        <v>64</v>
      </c>
      <c r="H65">
        <v>62216</v>
      </c>
      <c r="I65">
        <v>22987</v>
      </c>
      <c r="J65">
        <v>80028</v>
      </c>
      <c r="K65">
        <v>2015</v>
      </c>
    </row>
    <row r="66" spans="1:11" x14ac:dyDescent="0.3">
      <c r="A66">
        <v>64</v>
      </c>
      <c r="B66" s="1" t="s">
        <v>82</v>
      </c>
      <c r="C66" s="1" t="s">
        <v>62</v>
      </c>
      <c r="D66">
        <v>571600</v>
      </c>
      <c r="E66" s="3">
        <v>672997</v>
      </c>
      <c r="F66">
        <v>88157</v>
      </c>
      <c r="G66">
        <v>63</v>
      </c>
      <c r="H66">
        <v>54766</v>
      </c>
      <c r="I66">
        <v>250</v>
      </c>
      <c r="J66">
        <v>94555</v>
      </c>
      <c r="K66">
        <v>2015</v>
      </c>
    </row>
    <row r="67" spans="1:11" x14ac:dyDescent="0.3">
      <c r="A67">
        <v>65</v>
      </c>
      <c r="B67" s="1" t="s">
        <v>83</v>
      </c>
      <c r="C67" s="1" t="s">
        <v>26</v>
      </c>
      <c r="D67">
        <v>570900</v>
      </c>
      <c r="E67" s="3">
        <v>479395</v>
      </c>
      <c r="F67">
        <v>82085</v>
      </c>
      <c r="G67">
        <v>64</v>
      </c>
      <c r="H67">
        <v>75316</v>
      </c>
      <c r="I67">
        <v>26675</v>
      </c>
      <c r="J67">
        <v>95835</v>
      </c>
      <c r="K67">
        <v>2015</v>
      </c>
    </row>
    <row r="68" spans="1:11" x14ac:dyDescent="0.3">
      <c r="A68">
        <v>66</v>
      </c>
      <c r="B68" s="1" t="s">
        <v>84</v>
      </c>
      <c r="C68" s="1" t="s">
        <v>12</v>
      </c>
      <c r="D68">
        <v>569500</v>
      </c>
      <c r="E68" s="3">
        <v>714652</v>
      </c>
      <c r="F68">
        <v>76313</v>
      </c>
      <c r="G68">
        <v>72</v>
      </c>
      <c r="H68">
        <v>73204</v>
      </c>
      <c r="I68">
        <v>32881</v>
      </c>
      <c r="J68">
        <v>74126</v>
      </c>
      <c r="K68">
        <v>2015</v>
      </c>
    </row>
    <row r="69" spans="1:11" x14ac:dyDescent="0.3">
      <c r="A69">
        <v>67</v>
      </c>
      <c r="B69" s="1" t="s">
        <v>85</v>
      </c>
      <c r="C69" s="1" t="s">
        <v>12</v>
      </c>
      <c r="D69">
        <v>568900</v>
      </c>
      <c r="E69" s="3">
        <v>714692</v>
      </c>
      <c r="F69">
        <v>63697</v>
      </c>
      <c r="G69">
        <v>72</v>
      </c>
      <c r="H69">
        <v>60729</v>
      </c>
      <c r="I69">
        <v>38496</v>
      </c>
      <c r="J69">
        <v>88864</v>
      </c>
      <c r="K69">
        <v>2015</v>
      </c>
    </row>
    <row r="70" spans="1:11" x14ac:dyDescent="0.3">
      <c r="A70">
        <v>68</v>
      </c>
      <c r="B70" s="1" t="s">
        <v>86</v>
      </c>
      <c r="C70" s="1" t="s">
        <v>24</v>
      </c>
      <c r="D70">
        <v>560500</v>
      </c>
      <c r="E70" s="3">
        <v>555657</v>
      </c>
      <c r="F70">
        <v>76857</v>
      </c>
      <c r="G70">
        <v>61</v>
      </c>
      <c r="H70">
        <v>42672</v>
      </c>
      <c r="I70">
        <v>9828</v>
      </c>
      <c r="J70">
        <v>68504</v>
      </c>
      <c r="K70">
        <v>2015</v>
      </c>
    </row>
    <row r="71" spans="1:11" x14ac:dyDescent="0.3">
      <c r="A71">
        <v>69</v>
      </c>
      <c r="B71" s="1" t="s">
        <v>87</v>
      </c>
      <c r="C71" s="1" t="s">
        <v>47</v>
      </c>
      <c r="D71">
        <v>558900</v>
      </c>
      <c r="E71" s="3">
        <v>474132</v>
      </c>
      <c r="F71">
        <v>57906</v>
      </c>
      <c r="G71">
        <v>62</v>
      </c>
      <c r="H71">
        <v>36953</v>
      </c>
      <c r="I71">
        <v>35570</v>
      </c>
      <c r="J71">
        <v>91410</v>
      </c>
      <c r="K71">
        <v>2015</v>
      </c>
    </row>
    <row r="72" spans="1:11" x14ac:dyDescent="0.3">
      <c r="A72">
        <v>70</v>
      </c>
      <c r="B72" s="1" t="s">
        <v>88</v>
      </c>
      <c r="C72" s="1" t="s">
        <v>62</v>
      </c>
      <c r="D72">
        <v>554800</v>
      </c>
      <c r="E72" s="3">
        <v>567006</v>
      </c>
      <c r="F72">
        <v>87481</v>
      </c>
      <c r="G72">
        <v>58</v>
      </c>
      <c r="H72">
        <v>71087</v>
      </c>
      <c r="I72">
        <v>21333</v>
      </c>
      <c r="J72">
        <v>44115</v>
      </c>
      <c r="K72">
        <v>2015</v>
      </c>
    </row>
    <row r="73" spans="1:11" x14ac:dyDescent="0.3">
      <c r="A73">
        <v>71</v>
      </c>
      <c r="B73" s="1" t="s">
        <v>89</v>
      </c>
      <c r="C73" s="1" t="s">
        <v>90</v>
      </c>
      <c r="D73">
        <v>547700</v>
      </c>
      <c r="E73" s="3">
        <v>596071</v>
      </c>
      <c r="F73">
        <v>70260</v>
      </c>
      <c r="G73">
        <v>64</v>
      </c>
      <c r="H73">
        <v>83714</v>
      </c>
      <c r="I73">
        <v>47425</v>
      </c>
      <c r="J73">
        <v>86373</v>
      </c>
      <c r="K73">
        <v>2015</v>
      </c>
    </row>
    <row r="74" spans="1:11" x14ac:dyDescent="0.3">
      <c r="A74">
        <v>72</v>
      </c>
      <c r="B74" s="1" t="s">
        <v>91</v>
      </c>
      <c r="C74" s="1" t="s">
        <v>55</v>
      </c>
      <c r="D74">
        <v>547400</v>
      </c>
      <c r="E74" s="3">
        <v>819940</v>
      </c>
      <c r="F74">
        <v>75464</v>
      </c>
      <c r="G74">
        <v>75</v>
      </c>
      <c r="H74">
        <v>89003</v>
      </c>
      <c r="I74">
        <v>49602</v>
      </c>
      <c r="J74">
        <v>32736</v>
      </c>
      <c r="K74">
        <v>2015</v>
      </c>
    </row>
    <row r="75" spans="1:11" x14ac:dyDescent="0.3">
      <c r="A75">
        <v>73</v>
      </c>
      <c r="B75" s="1" t="s">
        <v>92</v>
      </c>
      <c r="C75" s="1" t="s">
        <v>47</v>
      </c>
      <c r="D75">
        <v>542900</v>
      </c>
      <c r="E75" s="3">
        <v>681338</v>
      </c>
      <c r="F75">
        <v>87568</v>
      </c>
      <c r="G75">
        <v>67</v>
      </c>
      <c r="H75">
        <v>67023</v>
      </c>
      <c r="I75">
        <v>10906</v>
      </c>
      <c r="J75">
        <v>72488</v>
      </c>
      <c r="K75">
        <v>2015</v>
      </c>
    </row>
    <row r="76" spans="1:11" x14ac:dyDescent="0.3">
      <c r="A76">
        <v>74</v>
      </c>
      <c r="B76" s="1" t="s">
        <v>93</v>
      </c>
      <c r="C76" s="1" t="s">
        <v>39</v>
      </c>
      <c r="D76">
        <v>539900</v>
      </c>
      <c r="E76" s="3">
        <v>489981</v>
      </c>
      <c r="F76">
        <v>77525</v>
      </c>
      <c r="G76">
        <v>62</v>
      </c>
      <c r="H76">
        <v>69597</v>
      </c>
      <c r="I76">
        <v>64752</v>
      </c>
      <c r="J76">
        <v>100000</v>
      </c>
      <c r="K76">
        <v>2015</v>
      </c>
    </row>
    <row r="77" spans="1:11" x14ac:dyDescent="0.3">
      <c r="A77">
        <v>75</v>
      </c>
      <c r="B77" s="1" t="s">
        <v>94</v>
      </c>
      <c r="C77" s="1" t="s">
        <v>39</v>
      </c>
      <c r="D77">
        <v>536000</v>
      </c>
      <c r="E77" s="3">
        <v>373967</v>
      </c>
      <c r="F77">
        <v>65058</v>
      </c>
      <c r="G77">
        <v>66</v>
      </c>
      <c r="H77">
        <v>88758</v>
      </c>
      <c r="I77">
        <v>21184</v>
      </c>
      <c r="J77">
        <v>81082</v>
      </c>
      <c r="K77">
        <v>2015</v>
      </c>
    </row>
    <row r="78" spans="1:11" x14ac:dyDescent="0.3">
      <c r="A78">
        <v>76</v>
      </c>
      <c r="B78" s="1" t="s">
        <v>95</v>
      </c>
      <c r="C78" s="1" t="s">
        <v>24</v>
      </c>
      <c r="D78">
        <v>533200</v>
      </c>
      <c r="E78" s="3">
        <v>627647</v>
      </c>
      <c r="F78">
        <v>67487</v>
      </c>
      <c r="G78">
        <v>65</v>
      </c>
      <c r="H78">
        <v>34066</v>
      </c>
      <c r="I78">
        <v>15396</v>
      </c>
      <c r="J78">
        <v>71471</v>
      </c>
      <c r="K78">
        <v>2015</v>
      </c>
    </row>
    <row r="79" spans="1:11" x14ac:dyDescent="0.3">
      <c r="A79">
        <v>77</v>
      </c>
      <c r="B79" s="1" t="s">
        <v>96</v>
      </c>
      <c r="C79" s="1" t="s">
        <v>62</v>
      </c>
      <c r="D79">
        <v>528600</v>
      </c>
      <c r="E79" s="3">
        <v>280569</v>
      </c>
      <c r="F79">
        <v>82094</v>
      </c>
      <c r="G79">
        <v>62</v>
      </c>
      <c r="H79">
        <v>64918</v>
      </c>
      <c r="I79">
        <v>37732</v>
      </c>
      <c r="J79">
        <v>92333</v>
      </c>
      <c r="K79">
        <v>2015</v>
      </c>
    </row>
    <row r="80" spans="1:11" x14ac:dyDescent="0.3">
      <c r="A80">
        <v>78</v>
      </c>
      <c r="B80" s="1" t="s">
        <v>97</v>
      </c>
      <c r="C80" s="1" t="s">
        <v>90</v>
      </c>
      <c r="D80">
        <v>526800</v>
      </c>
      <c r="E80" s="3">
        <v>387095</v>
      </c>
      <c r="F80">
        <v>64491</v>
      </c>
      <c r="G80">
        <v>45</v>
      </c>
      <c r="H80">
        <v>51265</v>
      </c>
      <c r="I80">
        <v>34218</v>
      </c>
      <c r="J80">
        <v>92697</v>
      </c>
      <c r="K80">
        <v>2015</v>
      </c>
    </row>
    <row r="81" spans="1:11" x14ac:dyDescent="0.3">
      <c r="A81">
        <v>79</v>
      </c>
      <c r="B81" s="1" t="s">
        <v>98</v>
      </c>
      <c r="C81" s="1" t="s">
        <v>99</v>
      </c>
      <c r="D81">
        <v>525300</v>
      </c>
      <c r="E81" s="3">
        <v>455759</v>
      </c>
      <c r="F81">
        <v>78728</v>
      </c>
      <c r="G81">
        <v>59</v>
      </c>
      <c r="H81">
        <v>79444</v>
      </c>
      <c r="I81">
        <v>60308</v>
      </c>
      <c r="J81">
        <v>72016</v>
      </c>
      <c r="K81">
        <v>2015</v>
      </c>
    </row>
    <row r="82" spans="1:11" x14ac:dyDescent="0.3">
      <c r="A82">
        <v>80</v>
      </c>
      <c r="B82" s="1" t="s">
        <v>100</v>
      </c>
      <c r="C82" s="1" t="s">
        <v>62</v>
      </c>
      <c r="D82">
        <v>521200</v>
      </c>
      <c r="E82" s="3">
        <v>605702</v>
      </c>
      <c r="F82">
        <v>66889</v>
      </c>
      <c r="G82">
        <v>62</v>
      </c>
      <c r="H82">
        <v>55290</v>
      </c>
      <c r="I82">
        <v>9800</v>
      </c>
      <c r="J82">
        <v>70891</v>
      </c>
      <c r="K82">
        <v>2015</v>
      </c>
    </row>
    <row r="83" spans="1:11" x14ac:dyDescent="0.3">
      <c r="A83">
        <v>81</v>
      </c>
      <c r="B83" s="1" t="s">
        <v>101</v>
      </c>
      <c r="C83" s="1" t="s">
        <v>99</v>
      </c>
      <c r="D83">
        <v>519400</v>
      </c>
      <c r="E83" s="3">
        <v>352236</v>
      </c>
      <c r="F83">
        <v>29532</v>
      </c>
      <c r="G83">
        <v>57</v>
      </c>
      <c r="H83">
        <v>18069</v>
      </c>
      <c r="I83">
        <v>42306</v>
      </c>
      <c r="J83">
        <v>81040</v>
      </c>
      <c r="K83">
        <v>2015</v>
      </c>
    </row>
    <row r="84" spans="1:11" x14ac:dyDescent="0.3">
      <c r="A84">
        <v>82</v>
      </c>
      <c r="B84" s="1" t="s">
        <v>102</v>
      </c>
      <c r="C84" s="1" t="s">
        <v>47</v>
      </c>
      <c r="D84">
        <v>519200</v>
      </c>
      <c r="E84" s="3">
        <v>576415</v>
      </c>
      <c r="F84">
        <v>64581</v>
      </c>
      <c r="G84">
        <v>65</v>
      </c>
      <c r="H84">
        <v>27264</v>
      </c>
      <c r="I84">
        <v>20279</v>
      </c>
      <c r="J84">
        <v>74098</v>
      </c>
      <c r="K84">
        <v>2015</v>
      </c>
    </row>
    <row r="85" spans="1:11" x14ac:dyDescent="0.3">
      <c r="A85">
        <v>83</v>
      </c>
      <c r="B85" s="1" t="s">
        <v>103</v>
      </c>
      <c r="C85" s="1" t="s">
        <v>24</v>
      </c>
      <c r="D85">
        <v>519200</v>
      </c>
      <c r="E85" s="3">
        <v>533583</v>
      </c>
      <c r="F85">
        <v>75160</v>
      </c>
      <c r="G85">
        <v>64</v>
      </c>
      <c r="H85">
        <v>60713</v>
      </c>
      <c r="I85">
        <v>13887</v>
      </c>
      <c r="J85">
        <v>74102</v>
      </c>
      <c r="K85">
        <v>2015</v>
      </c>
    </row>
    <row r="86" spans="1:11" x14ac:dyDescent="0.3">
      <c r="A86">
        <v>84</v>
      </c>
      <c r="B86" s="1" t="s">
        <v>104</v>
      </c>
      <c r="C86" s="1" t="s">
        <v>55</v>
      </c>
      <c r="D86">
        <v>514000</v>
      </c>
      <c r="E86" s="3">
        <v>526566</v>
      </c>
      <c r="F86">
        <v>67517</v>
      </c>
      <c r="G86">
        <v>68</v>
      </c>
      <c r="H86">
        <v>77191</v>
      </c>
      <c r="I86">
        <v>10285</v>
      </c>
      <c r="J86">
        <v>94961</v>
      </c>
      <c r="K86">
        <v>2015</v>
      </c>
    </row>
    <row r="87" spans="1:11" x14ac:dyDescent="0.3">
      <c r="A87">
        <v>85</v>
      </c>
      <c r="B87" s="1" t="s">
        <v>105</v>
      </c>
      <c r="C87" s="1" t="s">
        <v>90</v>
      </c>
      <c r="D87">
        <v>512900</v>
      </c>
      <c r="E87" s="3">
        <v>278261</v>
      </c>
      <c r="F87">
        <v>65333</v>
      </c>
      <c r="G87">
        <v>50</v>
      </c>
      <c r="H87">
        <v>72905</v>
      </c>
      <c r="I87">
        <v>24615</v>
      </c>
      <c r="J87">
        <v>77410</v>
      </c>
      <c r="K87">
        <v>2015</v>
      </c>
    </row>
    <row r="88" spans="1:11" x14ac:dyDescent="0.3">
      <c r="A88">
        <v>86</v>
      </c>
      <c r="B88" s="1" t="s">
        <v>106</v>
      </c>
      <c r="C88" s="1" t="s">
        <v>47</v>
      </c>
      <c r="D88">
        <v>512400</v>
      </c>
      <c r="E88" s="3">
        <v>617272</v>
      </c>
      <c r="F88">
        <v>63176</v>
      </c>
      <c r="G88">
        <v>67</v>
      </c>
      <c r="H88">
        <v>52361</v>
      </c>
      <c r="I88">
        <v>17274</v>
      </c>
      <c r="J88">
        <v>98825</v>
      </c>
      <c r="K88">
        <v>2015</v>
      </c>
    </row>
    <row r="89" spans="1:11" x14ac:dyDescent="0.3">
      <c r="A89">
        <v>87</v>
      </c>
      <c r="B89" s="1" t="s">
        <v>107</v>
      </c>
      <c r="C89" s="1" t="s">
        <v>47</v>
      </c>
      <c r="D89">
        <v>512300</v>
      </c>
      <c r="E89" s="3">
        <v>544558</v>
      </c>
      <c r="F89">
        <v>72003</v>
      </c>
      <c r="G89">
        <v>66</v>
      </c>
      <c r="H89">
        <v>30022</v>
      </c>
      <c r="I89">
        <v>24163</v>
      </c>
      <c r="J89">
        <v>95258</v>
      </c>
      <c r="K89">
        <v>2015</v>
      </c>
    </row>
    <row r="90" spans="1:11" x14ac:dyDescent="0.3">
      <c r="A90">
        <v>88</v>
      </c>
      <c r="B90" s="1" t="s">
        <v>108</v>
      </c>
      <c r="C90" s="1" t="s">
        <v>12</v>
      </c>
      <c r="D90">
        <v>510200</v>
      </c>
      <c r="E90" s="3">
        <v>686169</v>
      </c>
      <c r="F90">
        <v>81253</v>
      </c>
      <c r="G90">
        <v>70</v>
      </c>
      <c r="H90">
        <v>76850</v>
      </c>
      <c r="I90">
        <v>17238</v>
      </c>
      <c r="J90">
        <v>98047</v>
      </c>
      <c r="K90">
        <v>2015</v>
      </c>
    </row>
    <row r="91" spans="1:11" x14ac:dyDescent="0.3">
      <c r="A91">
        <v>89</v>
      </c>
      <c r="B91" s="1" t="s">
        <v>109</v>
      </c>
      <c r="C91" s="1" t="s">
        <v>47</v>
      </c>
      <c r="D91">
        <v>509800</v>
      </c>
      <c r="E91" s="3">
        <v>658489</v>
      </c>
      <c r="F91">
        <v>78134</v>
      </c>
      <c r="G91">
        <v>65</v>
      </c>
      <c r="H91">
        <v>44303</v>
      </c>
      <c r="I91">
        <v>22900</v>
      </c>
      <c r="J91">
        <v>88527</v>
      </c>
      <c r="K91">
        <v>2015</v>
      </c>
    </row>
    <row r="92" spans="1:11" x14ac:dyDescent="0.3">
      <c r="A92">
        <v>90</v>
      </c>
      <c r="B92" s="1" t="s">
        <v>110</v>
      </c>
      <c r="C92" s="1" t="s">
        <v>39</v>
      </c>
      <c r="D92">
        <v>507300</v>
      </c>
      <c r="E92" s="3">
        <v>417249</v>
      </c>
      <c r="F92">
        <v>73822</v>
      </c>
      <c r="G92">
        <v>60</v>
      </c>
      <c r="H92">
        <v>93388</v>
      </c>
      <c r="I92">
        <v>31400</v>
      </c>
      <c r="J92">
        <v>77753</v>
      </c>
      <c r="K92">
        <v>2015</v>
      </c>
    </row>
    <row r="93" spans="1:11" x14ac:dyDescent="0.3">
      <c r="A93">
        <v>91</v>
      </c>
      <c r="B93" s="1" t="s">
        <v>111</v>
      </c>
      <c r="C93" s="1" t="s">
        <v>90</v>
      </c>
      <c r="D93">
        <v>505700</v>
      </c>
      <c r="E93" s="3">
        <v>111491</v>
      </c>
      <c r="F93">
        <v>67858</v>
      </c>
      <c r="G93">
        <v>55</v>
      </c>
      <c r="H93">
        <v>69553</v>
      </c>
      <c r="I93">
        <v>63223</v>
      </c>
      <c r="J93">
        <v>27654</v>
      </c>
      <c r="K93">
        <v>2015</v>
      </c>
    </row>
    <row r="94" spans="1:11" x14ac:dyDescent="0.3">
      <c r="A94">
        <v>92</v>
      </c>
      <c r="B94" s="1" t="s">
        <v>112</v>
      </c>
      <c r="C94" s="1" t="s">
        <v>24</v>
      </c>
      <c r="D94">
        <v>501300</v>
      </c>
      <c r="E94" s="3">
        <v>434681</v>
      </c>
      <c r="F94">
        <v>45709</v>
      </c>
      <c r="G94">
        <v>61</v>
      </c>
      <c r="H94">
        <v>62251</v>
      </c>
      <c r="I94">
        <v>9011</v>
      </c>
      <c r="J94">
        <v>84516</v>
      </c>
      <c r="K94">
        <v>2015</v>
      </c>
    </row>
    <row r="95" spans="1:11" x14ac:dyDescent="0.3">
      <c r="A95">
        <v>93</v>
      </c>
      <c r="B95" s="1" t="s">
        <v>113</v>
      </c>
      <c r="C95" s="1" t="s">
        <v>47</v>
      </c>
      <c r="D95">
        <v>500700</v>
      </c>
      <c r="E95" s="3">
        <v>543361</v>
      </c>
      <c r="F95">
        <v>71481</v>
      </c>
      <c r="G95">
        <v>65</v>
      </c>
      <c r="H95">
        <v>49956</v>
      </c>
      <c r="I95">
        <v>28093</v>
      </c>
      <c r="J95">
        <v>90348</v>
      </c>
      <c r="K95">
        <v>2015</v>
      </c>
    </row>
    <row r="96" spans="1:11" x14ac:dyDescent="0.3">
      <c r="A96">
        <v>94</v>
      </c>
      <c r="B96" s="1" t="s">
        <v>114</v>
      </c>
      <c r="C96" s="1" t="s">
        <v>90</v>
      </c>
      <c r="D96">
        <v>497100</v>
      </c>
      <c r="E96" s="3">
        <v>49149</v>
      </c>
      <c r="F96">
        <v>73188</v>
      </c>
      <c r="G96">
        <v>42</v>
      </c>
      <c r="H96">
        <v>50821</v>
      </c>
      <c r="I96">
        <v>27980</v>
      </c>
      <c r="J96">
        <v>71729</v>
      </c>
      <c r="K96">
        <v>2015</v>
      </c>
    </row>
    <row r="97" spans="1:11" x14ac:dyDescent="0.3">
      <c r="A97">
        <v>95</v>
      </c>
      <c r="B97" s="1" t="s">
        <v>115</v>
      </c>
      <c r="C97" s="1" t="s">
        <v>47</v>
      </c>
      <c r="D97">
        <v>495900</v>
      </c>
      <c r="E97" s="3">
        <v>519798</v>
      </c>
      <c r="F97">
        <v>57361</v>
      </c>
      <c r="G97">
        <v>68</v>
      </c>
      <c r="H97">
        <v>53354</v>
      </c>
      <c r="I97">
        <v>17933</v>
      </c>
      <c r="J97">
        <v>88381</v>
      </c>
      <c r="K97">
        <v>2015</v>
      </c>
    </row>
    <row r="98" spans="1:11" x14ac:dyDescent="0.3">
      <c r="A98">
        <v>96</v>
      </c>
      <c r="B98" s="1" t="s">
        <v>116</v>
      </c>
      <c r="C98" s="1" t="s">
        <v>47</v>
      </c>
      <c r="D98">
        <v>494900</v>
      </c>
      <c r="E98" s="3">
        <v>492324</v>
      </c>
      <c r="F98">
        <v>65549</v>
      </c>
      <c r="G98">
        <v>67</v>
      </c>
      <c r="H98">
        <v>13804</v>
      </c>
      <c r="I98">
        <v>31171</v>
      </c>
      <c r="J98">
        <v>99589</v>
      </c>
      <c r="K98">
        <v>2015</v>
      </c>
    </row>
    <row r="99" spans="1:11" x14ac:dyDescent="0.3">
      <c r="A99">
        <v>97</v>
      </c>
      <c r="B99" s="1" t="s">
        <v>117</v>
      </c>
      <c r="C99" s="1" t="s">
        <v>90</v>
      </c>
      <c r="D99">
        <v>489800</v>
      </c>
      <c r="E99" s="3">
        <v>222106</v>
      </c>
      <c r="F99">
        <v>74241</v>
      </c>
      <c r="G99">
        <v>41</v>
      </c>
      <c r="H99">
        <v>47433</v>
      </c>
      <c r="I99">
        <v>20591</v>
      </c>
      <c r="J99">
        <v>77345</v>
      </c>
      <c r="K99">
        <v>2015</v>
      </c>
    </row>
    <row r="100" spans="1:11" x14ac:dyDescent="0.3">
      <c r="A100">
        <v>98</v>
      </c>
      <c r="B100" s="1" t="s">
        <v>118</v>
      </c>
      <c r="C100" s="1" t="s">
        <v>26</v>
      </c>
      <c r="D100">
        <v>488500</v>
      </c>
      <c r="E100" s="3">
        <v>529675</v>
      </c>
      <c r="F100">
        <v>83583</v>
      </c>
      <c r="G100">
        <v>63</v>
      </c>
      <c r="H100">
        <v>86112</v>
      </c>
      <c r="I100">
        <v>27245</v>
      </c>
      <c r="J100">
        <v>74209</v>
      </c>
      <c r="K100">
        <v>2015</v>
      </c>
    </row>
    <row r="101" spans="1:11" x14ac:dyDescent="0.3">
      <c r="A101">
        <v>99</v>
      </c>
      <c r="B101" s="1" t="s">
        <v>119</v>
      </c>
      <c r="C101" s="1" t="s">
        <v>39</v>
      </c>
      <c r="D101">
        <v>487600</v>
      </c>
      <c r="E101" s="3">
        <v>349416</v>
      </c>
      <c r="F101">
        <v>52632</v>
      </c>
      <c r="G101">
        <v>59</v>
      </c>
      <c r="H101">
        <v>88977</v>
      </c>
      <c r="I101">
        <v>53012</v>
      </c>
      <c r="J101">
        <v>56063</v>
      </c>
      <c r="K101">
        <v>2015</v>
      </c>
    </row>
    <row r="102" spans="1:11" x14ac:dyDescent="0.3">
      <c r="A102">
        <v>100</v>
      </c>
      <c r="B102" s="1" t="s">
        <v>120</v>
      </c>
      <c r="C102" s="1" t="s">
        <v>55</v>
      </c>
      <c r="D102">
        <v>487400</v>
      </c>
      <c r="E102" s="3">
        <v>489930</v>
      </c>
      <c r="F102">
        <v>92752</v>
      </c>
      <c r="G102">
        <v>60</v>
      </c>
      <c r="H102">
        <v>65140</v>
      </c>
      <c r="I102">
        <v>41752</v>
      </c>
      <c r="J102">
        <v>95170</v>
      </c>
      <c r="K102">
        <v>2015</v>
      </c>
    </row>
    <row r="103" spans="1:11" x14ac:dyDescent="0.3">
      <c r="A103">
        <v>101</v>
      </c>
      <c r="B103" s="1" t="s">
        <v>121</v>
      </c>
      <c r="C103" s="1" t="s">
        <v>90</v>
      </c>
      <c r="D103">
        <v>486700</v>
      </c>
      <c r="E103" s="3">
        <v>421236</v>
      </c>
      <c r="F103">
        <v>76509</v>
      </c>
      <c r="G103">
        <v>41</v>
      </c>
      <c r="H103">
        <v>45777</v>
      </c>
      <c r="I103">
        <v>22942</v>
      </c>
      <c r="J103">
        <v>94456</v>
      </c>
      <c r="K103">
        <v>2015</v>
      </c>
    </row>
    <row r="104" spans="1:11" x14ac:dyDescent="0.3">
      <c r="A104">
        <v>102</v>
      </c>
      <c r="B104" s="1" t="s">
        <v>122</v>
      </c>
      <c r="C104" s="1" t="s">
        <v>12</v>
      </c>
      <c r="D104">
        <v>485700</v>
      </c>
      <c r="E104" s="3">
        <v>682708</v>
      </c>
      <c r="F104">
        <v>66275</v>
      </c>
      <c r="G104">
        <v>71</v>
      </c>
      <c r="H104">
        <v>11495</v>
      </c>
      <c r="I104">
        <v>0</v>
      </c>
      <c r="J104">
        <v>97469</v>
      </c>
      <c r="K104">
        <v>2015</v>
      </c>
    </row>
    <row r="105" spans="1:11" x14ac:dyDescent="0.3">
      <c r="A105">
        <v>103</v>
      </c>
      <c r="B105" s="1" t="s">
        <v>123</v>
      </c>
      <c r="C105" s="1" t="s">
        <v>24</v>
      </c>
      <c r="D105">
        <v>483900</v>
      </c>
      <c r="E105" s="3">
        <v>606739</v>
      </c>
      <c r="F105">
        <v>57053</v>
      </c>
      <c r="G105">
        <v>69</v>
      </c>
      <c r="H105">
        <v>50641</v>
      </c>
      <c r="I105">
        <v>27459</v>
      </c>
      <c r="J105">
        <v>91698</v>
      </c>
      <c r="K105">
        <v>2015</v>
      </c>
    </row>
    <row r="106" spans="1:11" x14ac:dyDescent="0.3">
      <c r="A106">
        <v>104</v>
      </c>
      <c r="B106" s="1" t="s">
        <v>124</v>
      </c>
      <c r="C106" s="1" t="s">
        <v>47</v>
      </c>
      <c r="D106">
        <v>480000</v>
      </c>
      <c r="E106" s="3">
        <v>663118</v>
      </c>
      <c r="F106">
        <v>85731</v>
      </c>
      <c r="G106">
        <v>66</v>
      </c>
      <c r="H106">
        <v>47948</v>
      </c>
      <c r="I106">
        <v>16083</v>
      </c>
      <c r="J106">
        <v>95003</v>
      </c>
      <c r="K106">
        <v>2015</v>
      </c>
    </row>
    <row r="107" spans="1:11" x14ac:dyDescent="0.3">
      <c r="A107">
        <v>105</v>
      </c>
      <c r="B107" s="1" t="s">
        <v>125</v>
      </c>
      <c r="C107" s="1" t="s">
        <v>26</v>
      </c>
      <c r="D107">
        <v>478800</v>
      </c>
      <c r="E107" s="3">
        <v>352173</v>
      </c>
      <c r="F107">
        <v>67998</v>
      </c>
      <c r="G107">
        <v>64</v>
      </c>
      <c r="H107">
        <v>59947</v>
      </c>
      <c r="I107">
        <v>28933</v>
      </c>
      <c r="J107">
        <v>87634</v>
      </c>
      <c r="K107">
        <v>2015</v>
      </c>
    </row>
    <row r="108" spans="1:11" x14ac:dyDescent="0.3">
      <c r="A108">
        <v>106</v>
      </c>
      <c r="B108" s="1" t="s">
        <v>126</v>
      </c>
      <c r="C108" s="1" t="s">
        <v>62</v>
      </c>
      <c r="D108">
        <v>478600</v>
      </c>
      <c r="E108" s="3">
        <v>230991</v>
      </c>
      <c r="F108">
        <v>61019</v>
      </c>
      <c r="G108">
        <v>59</v>
      </c>
      <c r="H108">
        <v>70500</v>
      </c>
      <c r="I108">
        <v>28866</v>
      </c>
      <c r="J108">
        <v>72691</v>
      </c>
      <c r="K108">
        <v>2015</v>
      </c>
    </row>
    <row r="109" spans="1:11" x14ac:dyDescent="0.3">
      <c r="A109">
        <v>107</v>
      </c>
      <c r="B109" s="1" t="s">
        <v>127</v>
      </c>
      <c r="C109" s="1" t="s">
        <v>24</v>
      </c>
      <c r="D109">
        <v>473900</v>
      </c>
      <c r="E109" s="3">
        <v>521253</v>
      </c>
      <c r="F109">
        <v>43095</v>
      </c>
      <c r="G109">
        <v>65</v>
      </c>
      <c r="H109">
        <v>39222</v>
      </c>
      <c r="I109">
        <v>8081</v>
      </c>
      <c r="J109">
        <v>88480</v>
      </c>
      <c r="K109">
        <v>2015</v>
      </c>
    </row>
    <row r="110" spans="1:11" x14ac:dyDescent="0.3">
      <c r="A110">
        <v>108</v>
      </c>
      <c r="B110" s="1" t="s">
        <v>128</v>
      </c>
      <c r="C110" s="1" t="s">
        <v>24</v>
      </c>
      <c r="D110">
        <v>471500</v>
      </c>
      <c r="E110" s="3">
        <v>354158</v>
      </c>
      <c r="F110">
        <v>66007</v>
      </c>
      <c r="G110">
        <v>63</v>
      </c>
      <c r="H110">
        <v>36580</v>
      </c>
      <c r="I110">
        <v>14136</v>
      </c>
      <c r="J110">
        <v>76618</v>
      </c>
      <c r="K110">
        <v>2015</v>
      </c>
    </row>
    <row r="111" spans="1:11" x14ac:dyDescent="0.3">
      <c r="A111">
        <v>109</v>
      </c>
      <c r="B111" s="1" t="s">
        <v>129</v>
      </c>
      <c r="C111" s="1" t="s">
        <v>99</v>
      </c>
      <c r="D111">
        <v>469400</v>
      </c>
      <c r="E111" s="3">
        <v>235166</v>
      </c>
      <c r="F111">
        <v>30741</v>
      </c>
      <c r="G111">
        <v>60</v>
      </c>
      <c r="H111">
        <v>60950</v>
      </c>
      <c r="I111">
        <v>26664</v>
      </c>
      <c r="J111">
        <v>77226</v>
      </c>
      <c r="K111">
        <v>2015</v>
      </c>
    </row>
    <row r="112" spans="1:11" x14ac:dyDescent="0.3">
      <c r="A112">
        <v>110</v>
      </c>
      <c r="B112" s="1" t="s">
        <v>130</v>
      </c>
      <c r="C112" s="1" t="s">
        <v>24</v>
      </c>
      <c r="D112">
        <v>468600</v>
      </c>
      <c r="E112" s="3">
        <v>596774</v>
      </c>
      <c r="F112">
        <v>38829</v>
      </c>
      <c r="G112">
        <v>64</v>
      </c>
      <c r="H112">
        <v>44843</v>
      </c>
      <c r="I112">
        <v>47853</v>
      </c>
      <c r="J112">
        <v>89378</v>
      </c>
      <c r="K112">
        <v>2015</v>
      </c>
    </row>
    <row r="113" spans="1:11" x14ac:dyDescent="0.3">
      <c r="A113">
        <v>111</v>
      </c>
      <c r="B113" s="1" t="s">
        <v>131</v>
      </c>
      <c r="C113" s="1" t="s">
        <v>62</v>
      </c>
      <c r="D113">
        <v>468100</v>
      </c>
      <c r="E113" s="3">
        <v>472705</v>
      </c>
      <c r="F113">
        <v>85776</v>
      </c>
      <c r="G113">
        <v>63</v>
      </c>
      <c r="H113">
        <v>37512</v>
      </c>
      <c r="I113">
        <v>19192</v>
      </c>
      <c r="J113">
        <v>94635</v>
      </c>
      <c r="K113">
        <v>2015</v>
      </c>
    </row>
    <row r="114" spans="1:11" x14ac:dyDescent="0.3">
      <c r="A114">
        <v>112</v>
      </c>
      <c r="B114" s="1" t="s">
        <v>132</v>
      </c>
      <c r="C114" s="1" t="s">
        <v>24</v>
      </c>
      <c r="D114">
        <v>467700</v>
      </c>
      <c r="E114" s="3">
        <v>582990</v>
      </c>
      <c r="F114">
        <v>58399</v>
      </c>
      <c r="G114">
        <v>60</v>
      </c>
      <c r="H114">
        <v>0</v>
      </c>
      <c r="I114">
        <v>22518</v>
      </c>
      <c r="J114">
        <v>75018</v>
      </c>
      <c r="K114">
        <v>2015</v>
      </c>
    </row>
    <row r="115" spans="1:11" x14ac:dyDescent="0.3">
      <c r="A115">
        <v>113</v>
      </c>
      <c r="B115" s="1" t="s">
        <v>133</v>
      </c>
      <c r="C115" s="1" t="s">
        <v>90</v>
      </c>
      <c r="D115">
        <v>464200</v>
      </c>
      <c r="E115" s="3">
        <v>544536</v>
      </c>
      <c r="F115">
        <v>84486</v>
      </c>
      <c r="G115">
        <v>49</v>
      </c>
      <c r="H115">
        <v>49582</v>
      </c>
      <c r="I115">
        <v>15044</v>
      </c>
      <c r="J115">
        <v>83903</v>
      </c>
      <c r="K115">
        <v>2015</v>
      </c>
    </row>
    <row r="116" spans="1:11" x14ac:dyDescent="0.3">
      <c r="A116">
        <v>114</v>
      </c>
      <c r="B116" s="1" t="s">
        <v>134</v>
      </c>
      <c r="C116" s="1" t="s">
        <v>90</v>
      </c>
      <c r="D116">
        <v>463300</v>
      </c>
      <c r="E116" s="3">
        <v>322748</v>
      </c>
      <c r="F116">
        <v>48461</v>
      </c>
      <c r="G116">
        <v>53</v>
      </c>
      <c r="H116">
        <v>63222</v>
      </c>
      <c r="I116">
        <v>29008</v>
      </c>
      <c r="J116">
        <v>92109</v>
      </c>
      <c r="K116">
        <v>2015</v>
      </c>
    </row>
    <row r="117" spans="1:11" x14ac:dyDescent="0.3">
      <c r="A117">
        <v>115</v>
      </c>
      <c r="B117" s="1" t="s">
        <v>135</v>
      </c>
      <c r="C117" s="1" t="s">
        <v>90</v>
      </c>
      <c r="D117">
        <v>461000</v>
      </c>
      <c r="E117" s="3">
        <v>160314</v>
      </c>
      <c r="F117">
        <v>73651</v>
      </c>
      <c r="G117">
        <v>51</v>
      </c>
      <c r="H117">
        <v>38614</v>
      </c>
      <c r="I117">
        <v>23857</v>
      </c>
      <c r="J117">
        <v>85361</v>
      </c>
      <c r="K117">
        <v>2015</v>
      </c>
    </row>
    <row r="118" spans="1:11" x14ac:dyDescent="0.3">
      <c r="A118">
        <v>116</v>
      </c>
      <c r="B118" s="1" t="s">
        <v>136</v>
      </c>
      <c r="C118" s="1" t="s">
        <v>90</v>
      </c>
      <c r="D118">
        <v>457100</v>
      </c>
      <c r="E118" s="3">
        <v>42120</v>
      </c>
      <c r="F118">
        <v>56316</v>
      </c>
      <c r="G118">
        <v>51</v>
      </c>
      <c r="H118">
        <v>42600</v>
      </c>
      <c r="I118">
        <v>30610</v>
      </c>
      <c r="J118">
        <v>88708</v>
      </c>
      <c r="K118">
        <v>2015</v>
      </c>
    </row>
    <row r="119" spans="1:11" x14ac:dyDescent="0.3">
      <c r="A119">
        <v>117</v>
      </c>
      <c r="B119" s="1" t="s">
        <v>137</v>
      </c>
      <c r="C119" s="1" t="s">
        <v>99</v>
      </c>
      <c r="D119">
        <v>456500</v>
      </c>
      <c r="E119" s="3">
        <v>381558</v>
      </c>
      <c r="F119">
        <v>27223</v>
      </c>
      <c r="G119">
        <v>57</v>
      </c>
      <c r="H119">
        <v>59406</v>
      </c>
      <c r="I119">
        <v>33265</v>
      </c>
      <c r="J119">
        <v>84614</v>
      </c>
      <c r="K119">
        <v>2015</v>
      </c>
    </row>
    <row r="120" spans="1:11" x14ac:dyDescent="0.3">
      <c r="A120">
        <v>118</v>
      </c>
      <c r="B120" s="1" t="s">
        <v>138</v>
      </c>
      <c r="C120" s="1" t="s">
        <v>90</v>
      </c>
      <c r="D120">
        <v>455000</v>
      </c>
      <c r="E120" s="3">
        <v>308252</v>
      </c>
      <c r="F120">
        <v>72316</v>
      </c>
      <c r="G120">
        <v>52</v>
      </c>
      <c r="H120">
        <v>15053</v>
      </c>
      <c r="I120">
        <v>23950</v>
      </c>
      <c r="J120">
        <v>73437</v>
      </c>
      <c r="K120">
        <v>2015</v>
      </c>
    </row>
    <row r="121" spans="1:11" x14ac:dyDescent="0.3">
      <c r="A121">
        <v>119</v>
      </c>
      <c r="B121" s="1" t="s">
        <v>139</v>
      </c>
      <c r="C121" s="1" t="s">
        <v>26</v>
      </c>
      <c r="D121">
        <v>451800</v>
      </c>
      <c r="E121" s="3">
        <v>157791</v>
      </c>
      <c r="F121">
        <v>52988</v>
      </c>
      <c r="G121">
        <v>53</v>
      </c>
      <c r="H121">
        <v>36470</v>
      </c>
      <c r="I121">
        <v>58032</v>
      </c>
      <c r="J121">
        <v>68880</v>
      </c>
      <c r="K121">
        <v>2015</v>
      </c>
    </row>
    <row r="122" spans="1:11" x14ac:dyDescent="0.3">
      <c r="A122">
        <v>120</v>
      </c>
      <c r="B122" s="1" t="s">
        <v>140</v>
      </c>
      <c r="C122" s="1" t="s">
        <v>90</v>
      </c>
      <c r="D122">
        <v>451700</v>
      </c>
      <c r="E122" s="3">
        <v>0</v>
      </c>
      <c r="F122">
        <v>71400</v>
      </c>
      <c r="G122">
        <v>42</v>
      </c>
      <c r="H122">
        <v>33753</v>
      </c>
      <c r="I122">
        <v>31203</v>
      </c>
      <c r="J122">
        <v>86185</v>
      </c>
      <c r="K122">
        <v>2015</v>
      </c>
    </row>
    <row r="123" spans="1:11" x14ac:dyDescent="0.3">
      <c r="A123">
        <v>121</v>
      </c>
      <c r="B123" s="1" t="s">
        <v>141</v>
      </c>
      <c r="C123" s="1" t="s">
        <v>99</v>
      </c>
      <c r="D123">
        <v>451400</v>
      </c>
      <c r="E123" s="3">
        <v>212947</v>
      </c>
      <c r="F123">
        <v>61651</v>
      </c>
      <c r="G123">
        <v>59</v>
      </c>
      <c r="H123">
        <v>57161</v>
      </c>
      <c r="I123">
        <v>40578</v>
      </c>
      <c r="J123">
        <v>89298</v>
      </c>
      <c r="K123">
        <v>2015</v>
      </c>
    </row>
    <row r="124" spans="1:11" x14ac:dyDescent="0.3">
      <c r="A124">
        <v>122</v>
      </c>
      <c r="B124" s="1" t="s">
        <v>142</v>
      </c>
      <c r="C124" s="1" t="s">
        <v>90</v>
      </c>
      <c r="D124">
        <v>451200</v>
      </c>
      <c r="E124" s="3">
        <v>112829</v>
      </c>
      <c r="F124">
        <v>43078</v>
      </c>
      <c r="G124">
        <v>55</v>
      </c>
      <c r="H124">
        <v>64877</v>
      </c>
      <c r="I124">
        <v>30563</v>
      </c>
      <c r="J124">
        <v>72736</v>
      </c>
      <c r="K124">
        <v>2015</v>
      </c>
    </row>
    <row r="125" spans="1:11" x14ac:dyDescent="0.3">
      <c r="A125">
        <v>123</v>
      </c>
      <c r="B125" s="1" t="s">
        <v>143</v>
      </c>
      <c r="C125" s="1" t="s">
        <v>90</v>
      </c>
      <c r="D125">
        <v>450700</v>
      </c>
      <c r="E125" s="3">
        <v>195360</v>
      </c>
      <c r="F125">
        <v>68156</v>
      </c>
      <c r="G125">
        <v>39</v>
      </c>
      <c r="H125">
        <v>60980</v>
      </c>
      <c r="I125">
        <v>26999</v>
      </c>
      <c r="J125">
        <v>84081</v>
      </c>
      <c r="K125">
        <v>2015</v>
      </c>
    </row>
    <row r="126" spans="1:11" x14ac:dyDescent="0.3">
      <c r="A126">
        <v>124</v>
      </c>
      <c r="B126" s="1" t="s">
        <v>144</v>
      </c>
      <c r="C126" s="1" t="s">
        <v>90</v>
      </c>
      <c r="D126">
        <v>443600</v>
      </c>
      <c r="E126" s="3">
        <v>268612</v>
      </c>
      <c r="F126">
        <v>61978</v>
      </c>
      <c r="G126">
        <v>52</v>
      </c>
      <c r="H126">
        <v>36182</v>
      </c>
      <c r="I126">
        <v>27516</v>
      </c>
      <c r="J126">
        <v>68362</v>
      </c>
      <c r="K126">
        <v>2015</v>
      </c>
    </row>
    <row r="127" spans="1:11" x14ac:dyDescent="0.3">
      <c r="A127">
        <v>125</v>
      </c>
      <c r="B127" s="1" t="s">
        <v>145</v>
      </c>
      <c r="C127" s="1" t="s">
        <v>90</v>
      </c>
      <c r="D127">
        <v>441900</v>
      </c>
      <c r="E127" s="3">
        <v>215751</v>
      </c>
      <c r="F127">
        <v>71227</v>
      </c>
      <c r="G127">
        <v>54</v>
      </c>
      <c r="H127">
        <v>63033</v>
      </c>
      <c r="I127">
        <v>47171</v>
      </c>
      <c r="J127">
        <v>89421</v>
      </c>
      <c r="K127">
        <v>2015</v>
      </c>
    </row>
    <row r="128" spans="1:11" x14ac:dyDescent="0.3">
      <c r="A128">
        <v>126</v>
      </c>
      <c r="B128" s="1" t="s">
        <v>146</v>
      </c>
      <c r="C128" s="1" t="s">
        <v>90</v>
      </c>
      <c r="D128">
        <v>436900</v>
      </c>
      <c r="E128" s="3">
        <v>260440</v>
      </c>
      <c r="F128">
        <v>42223</v>
      </c>
      <c r="G128">
        <v>52</v>
      </c>
      <c r="H128">
        <v>68795</v>
      </c>
      <c r="I128">
        <v>22733</v>
      </c>
      <c r="J128">
        <v>49077</v>
      </c>
      <c r="K128">
        <v>2015</v>
      </c>
    </row>
    <row r="129" spans="1:11" x14ac:dyDescent="0.3">
      <c r="A129">
        <v>127</v>
      </c>
      <c r="B129" s="1" t="s">
        <v>147</v>
      </c>
      <c r="C129" s="1" t="s">
        <v>62</v>
      </c>
      <c r="D129">
        <v>435000</v>
      </c>
      <c r="E129" s="3">
        <v>454452</v>
      </c>
      <c r="F129">
        <v>55420</v>
      </c>
      <c r="G129">
        <v>65</v>
      </c>
      <c r="H129">
        <v>29635</v>
      </c>
      <c r="I129">
        <v>9870</v>
      </c>
      <c r="J129">
        <v>92933</v>
      </c>
      <c r="K129">
        <v>2015</v>
      </c>
    </row>
    <row r="130" spans="1:11" x14ac:dyDescent="0.3">
      <c r="A130">
        <v>128</v>
      </c>
      <c r="B130" s="1" t="s">
        <v>148</v>
      </c>
      <c r="C130" s="1" t="s">
        <v>90</v>
      </c>
      <c r="D130">
        <v>433200</v>
      </c>
      <c r="E130" s="3">
        <v>587752</v>
      </c>
      <c r="F130">
        <v>78777</v>
      </c>
      <c r="G130">
        <v>40</v>
      </c>
      <c r="H130">
        <v>73903</v>
      </c>
      <c r="I130">
        <v>13143</v>
      </c>
      <c r="J130">
        <v>77398</v>
      </c>
      <c r="K130">
        <v>2015</v>
      </c>
    </row>
    <row r="131" spans="1:11" x14ac:dyDescent="0.3">
      <c r="A131">
        <v>129</v>
      </c>
      <c r="B131" s="1" t="s">
        <v>149</v>
      </c>
      <c r="C131" s="1" t="s">
        <v>39</v>
      </c>
      <c r="D131">
        <v>430700</v>
      </c>
      <c r="E131" s="3">
        <v>160360</v>
      </c>
      <c r="F131">
        <v>50566</v>
      </c>
      <c r="G131">
        <v>56</v>
      </c>
      <c r="H131">
        <v>65723</v>
      </c>
      <c r="I131">
        <v>100000</v>
      </c>
      <c r="J131">
        <v>65513</v>
      </c>
      <c r="K131">
        <v>2015</v>
      </c>
    </row>
    <row r="132" spans="1:11" x14ac:dyDescent="0.3">
      <c r="A132">
        <v>130</v>
      </c>
      <c r="B132" s="1" t="s">
        <v>150</v>
      </c>
      <c r="C132" s="1" t="s">
        <v>62</v>
      </c>
      <c r="D132">
        <v>429700</v>
      </c>
      <c r="E132" s="3">
        <v>438886</v>
      </c>
      <c r="F132">
        <v>27500</v>
      </c>
      <c r="G132">
        <v>65</v>
      </c>
      <c r="H132">
        <v>60588</v>
      </c>
      <c r="I132">
        <v>6969</v>
      </c>
      <c r="J132">
        <v>30549</v>
      </c>
      <c r="K132">
        <v>2015</v>
      </c>
    </row>
    <row r="133" spans="1:11" x14ac:dyDescent="0.3">
      <c r="A133">
        <v>131</v>
      </c>
      <c r="B133" s="1" t="s">
        <v>151</v>
      </c>
      <c r="C133" s="1" t="s">
        <v>90</v>
      </c>
      <c r="D133">
        <v>429200</v>
      </c>
      <c r="E133" s="3">
        <v>9487</v>
      </c>
      <c r="F133">
        <v>29335</v>
      </c>
      <c r="G133">
        <v>47</v>
      </c>
      <c r="H133">
        <v>64285</v>
      </c>
      <c r="I133">
        <v>41624</v>
      </c>
      <c r="J133">
        <v>87359</v>
      </c>
      <c r="K133">
        <v>2015</v>
      </c>
    </row>
    <row r="134" spans="1:11" x14ac:dyDescent="0.3">
      <c r="A134">
        <v>132</v>
      </c>
      <c r="B134" s="1" t="s">
        <v>152</v>
      </c>
      <c r="C134" s="1" t="s">
        <v>99</v>
      </c>
      <c r="D134">
        <v>427100</v>
      </c>
      <c r="E134" s="3">
        <v>494102</v>
      </c>
      <c r="F134">
        <v>72674</v>
      </c>
      <c r="G134">
        <v>64</v>
      </c>
      <c r="H134">
        <v>80220</v>
      </c>
      <c r="I134">
        <v>51298</v>
      </c>
      <c r="J134">
        <v>83370</v>
      </c>
      <c r="K134">
        <v>2015</v>
      </c>
    </row>
    <row r="135" spans="1:11" x14ac:dyDescent="0.3">
      <c r="A135">
        <v>133</v>
      </c>
      <c r="B135" s="1" t="s">
        <v>153</v>
      </c>
      <c r="C135" s="1" t="s">
        <v>90</v>
      </c>
      <c r="D135">
        <v>425200</v>
      </c>
      <c r="E135" s="3">
        <v>249938</v>
      </c>
      <c r="F135">
        <v>63304</v>
      </c>
      <c r="G135">
        <v>47</v>
      </c>
      <c r="H135">
        <v>73625</v>
      </c>
      <c r="I135">
        <v>25906</v>
      </c>
      <c r="J135">
        <v>89517</v>
      </c>
      <c r="K135">
        <v>2015</v>
      </c>
    </row>
    <row r="136" spans="1:11" x14ac:dyDescent="0.3">
      <c r="A136">
        <v>134</v>
      </c>
      <c r="B136" s="1" t="s">
        <v>154</v>
      </c>
      <c r="C136" s="1" t="s">
        <v>47</v>
      </c>
      <c r="D136">
        <v>421800</v>
      </c>
      <c r="E136" s="3">
        <v>598762</v>
      </c>
      <c r="F136">
        <v>78884</v>
      </c>
      <c r="G136">
        <v>66</v>
      </c>
      <c r="H136">
        <v>45671</v>
      </c>
      <c r="I136">
        <v>14978</v>
      </c>
      <c r="J136">
        <v>98420</v>
      </c>
      <c r="K136">
        <v>2015</v>
      </c>
    </row>
    <row r="137" spans="1:11" x14ac:dyDescent="0.3">
      <c r="A137">
        <v>135</v>
      </c>
      <c r="B137" s="1" t="s">
        <v>155</v>
      </c>
      <c r="C137" s="1" t="s">
        <v>24</v>
      </c>
      <c r="D137">
        <v>419400</v>
      </c>
      <c r="E137" s="3">
        <v>521644</v>
      </c>
      <c r="F137">
        <v>53272</v>
      </c>
      <c r="G137">
        <v>61</v>
      </c>
      <c r="H137">
        <v>25813</v>
      </c>
      <c r="I137">
        <v>14186</v>
      </c>
      <c r="J137">
        <v>88541</v>
      </c>
      <c r="K137">
        <v>2015</v>
      </c>
    </row>
    <row r="138" spans="1:11" x14ac:dyDescent="0.3">
      <c r="A138">
        <v>136</v>
      </c>
      <c r="B138" s="1" t="s">
        <v>156</v>
      </c>
      <c r="C138" s="1" t="s">
        <v>24</v>
      </c>
      <c r="D138">
        <v>407700</v>
      </c>
      <c r="E138" s="3">
        <v>323288</v>
      </c>
      <c r="F138">
        <v>48560</v>
      </c>
      <c r="G138">
        <v>53</v>
      </c>
      <c r="H138">
        <v>53112</v>
      </c>
      <c r="I138">
        <v>11473</v>
      </c>
      <c r="J138">
        <v>85769</v>
      </c>
      <c r="K138">
        <v>2015</v>
      </c>
    </row>
    <row r="139" spans="1:11" x14ac:dyDescent="0.3">
      <c r="A139">
        <v>137</v>
      </c>
      <c r="B139" s="1" t="s">
        <v>157</v>
      </c>
      <c r="C139" s="1" t="s">
        <v>90</v>
      </c>
      <c r="D139">
        <v>403300</v>
      </c>
      <c r="E139" s="3">
        <v>448283</v>
      </c>
      <c r="F139">
        <v>61359</v>
      </c>
      <c r="G139">
        <v>45</v>
      </c>
      <c r="H139">
        <v>15505</v>
      </c>
      <c r="I139">
        <v>15510</v>
      </c>
      <c r="J139">
        <v>87097</v>
      </c>
      <c r="K139">
        <v>2015</v>
      </c>
    </row>
    <row r="140" spans="1:11" x14ac:dyDescent="0.3">
      <c r="A140">
        <v>138</v>
      </c>
      <c r="B140" s="1" t="s">
        <v>158</v>
      </c>
      <c r="C140" s="1" t="s">
        <v>90</v>
      </c>
      <c r="D140">
        <v>399500</v>
      </c>
      <c r="E140" s="3">
        <v>154249</v>
      </c>
      <c r="F140">
        <v>73830</v>
      </c>
      <c r="G140">
        <v>46</v>
      </c>
      <c r="H140">
        <v>58019</v>
      </c>
      <c r="I140">
        <v>23619</v>
      </c>
      <c r="J140">
        <v>77620</v>
      </c>
      <c r="K140">
        <v>2015</v>
      </c>
    </row>
    <row r="141" spans="1:11" x14ac:dyDescent="0.3">
      <c r="A141">
        <v>139</v>
      </c>
      <c r="B141" s="1" t="s">
        <v>159</v>
      </c>
      <c r="C141" s="1" t="s">
        <v>90</v>
      </c>
      <c r="D141">
        <v>398900</v>
      </c>
      <c r="E141" s="3">
        <v>401476</v>
      </c>
      <c r="F141">
        <v>47274</v>
      </c>
      <c r="G141">
        <v>50</v>
      </c>
      <c r="H141">
        <v>61915</v>
      </c>
      <c r="I141">
        <v>15565</v>
      </c>
      <c r="J141">
        <v>78827</v>
      </c>
      <c r="K141">
        <v>2015</v>
      </c>
    </row>
    <row r="142" spans="1:11" x14ac:dyDescent="0.3">
      <c r="A142">
        <v>140</v>
      </c>
      <c r="B142" s="1" t="s">
        <v>160</v>
      </c>
      <c r="C142" s="1" t="s">
        <v>90</v>
      </c>
      <c r="D142">
        <v>395600</v>
      </c>
      <c r="E142" s="3">
        <v>141419</v>
      </c>
      <c r="F142">
        <v>56534</v>
      </c>
      <c r="G142">
        <v>52</v>
      </c>
      <c r="H142">
        <v>34218</v>
      </c>
      <c r="I142">
        <v>21914</v>
      </c>
      <c r="J142">
        <v>63943</v>
      </c>
      <c r="K142">
        <v>2015</v>
      </c>
    </row>
    <row r="143" spans="1:11" x14ac:dyDescent="0.3">
      <c r="A143">
        <v>141</v>
      </c>
      <c r="B143" s="1" t="s">
        <v>161</v>
      </c>
      <c r="C143" s="1" t="s">
        <v>90</v>
      </c>
      <c r="D143">
        <v>393100</v>
      </c>
      <c r="E143" s="3">
        <v>124835</v>
      </c>
      <c r="F143">
        <v>80799</v>
      </c>
      <c r="G143">
        <v>51</v>
      </c>
      <c r="H143">
        <v>68277</v>
      </c>
      <c r="I143">
        <v>36521</v>
      </c>
      <c r="J143">
        <v>86834</v>
      </c>
      <c r="K143">
        <v>2015</v>
      </c>
    </row>
    <row r="144" spans="1:11" x14ac:dyDescent="0.3">
      <c r="A144">
        <v>142</v>
      </c>
      <c r="B144" s="1" t="s">
        <v>162</v>
      </c>
      <c r="C144" s="1" t="s">
        <v>90</v>
      </c>
      <c r="D144">
        <v>390400</v>
      </c>
      <c r="E144" s="3">
        <v>215909</v>
      </c>
      <c r="F144">
        <v>69617</v>
      </c>
      <c r="G144">
        <v>54</v>
      </c>
      <c r="H144">
        <v>54905</v>
      </c>
      <c r="I144">
        <v>26188</v>
      </c>
      <c r="J144">
        <v>80589</v>
      </c>
      <c r="K144">
        <v>2015</v>
      </c>
    </row>
    <row r="145" spans="1:11" x14ac:dyDescent="0.3">
      <c r="A145">
        <v>143</v>
      </c>
      <c r="B145" s="1" t="s">
        <v>163</v>
      </c>
      <c r="C145" s="1" t="s">
        <v>90</v>
      </c>
      <c r="D145">
        <v>389600</v>
      </c>
      <c r="E145" s="3">
        <v>627204</v>
      </c>
      <c r="F145">
        <v>64560</v>
      </c>
      <c r="G145">
        <v>54</v>
      </c>
      <c r="H145">
        <v>47653</v>
      </c>
      <c r="I145">
        <v>8571</v>
      </c>
      <c r="J145">
        <v>79905</v>
      </c>
      <c r="K145">
        <v>2015</v>
      </c>
    </row>
    <row r="146" spans="1:11" x14ac:dyDescent="0.3">
      <c r="A146">
        <v>144</v>
      </c>
      <c r="B146" s="1" t="s">
        <v>164</v>
      </c>
      <c r="C146" s="1" t="s">
        <v>90</v>
      </c>
      <c r="D146">
        <v>384500</v>
      </c>
      <c r="E146" s="3">
        <v>41055</v>
      </c>
      <c r="F146">
        <v>55101</v>
      </c>
      <c r="G146">
        <v>49</v>
      </c>
      <c r="H146">
        <v>71210</v>
      </c>
      <c r="I146">
        <v>24359</v>
      </c>
      <c r="J146">
        <v>71664</v>
      </c>
      <c r="K146">
        <v>2015</v>
      </c>
    </row>
    <row r="147" spans="1:11" x14ac:dyDescent="0.3">
      <c r="A147">
        <v>145</v>
      </c>
      <c r="B147" s="1" t="s">
        <v>165</v>
      </c>
      <c r="C147" s="1" t="s">
        <v>39</v>
      </c>
      <c r="D147">
        <v>381900</v>
      </c>
      <c r="E147" s="3">
        <v>272347</v>
      </c>
      <c r="F147">
        <v>44740</v>
      </c>
      <c r="G147">
        <v>61</v>
      </c>
      <c r="H147">
        <v>98914</v>
      </c>
      <c r="I147">
        <v>50710</v>
      </c>
      <c r="J147">
        <v>86869</v>
      </c>
      <c r="K147">
        <v>2015</v>
      </c>
    </row>
    <row r="148" spans="1:11" x14ac:dyDescent="0.3">
      <c r="A148">
        <v>146</v>
      </c>
      <c r="B148" s="1" t="s">
        <v>166</v>
      </c>
      <c r="C148" s="1" t="s">
        <v>90</v>
      </c>
      <c r="D148">
        <v>378100</v>
      </c>
      <c r="E148" s="3">
        <v>168716</v>
      </c>
      <c r="F148">
        <v>71506</v>
      </c>
      <c r="G148">
        <v>53</v>
      </c>
      <c r="H148">
        <v>49091</v>
      </c>
      <c r="I148">
        <v>43194</v>
      </c>
      <c r="J148">
        <v>89588</v>
      </c>
      <c r="K148">
        <v>2015</v>
      </c>
    </row>
    <row r="149" spans="1:11" x14ac:dyDescent="0.3">
      <c r="A149">
        <v>147</v>
      </c>
      <c r="B149" s="1" t="s">
        <v>167</v>
      </c>
      <c r="C149" s="1" t="s">
        <v>90</v>
      </c>
      <c r="D149">
        <v>368100</v>
      </c>
      <c r="E149" s="3">
        <v>123192</v>
      </c>
      <c r="F149">
        <v>47639</v>
      </c>
      <c r="G149">
        <v>56</v>
      </c>
      <c r="H149">
        <v>28644</v>
      </c>
      <c r="I149">
        <v>26805</v>
      </c>
      <c r="J149">
        <v>85280</v>
      </c>
      <c r="K149">
        <v>2015</v>
      </c>
    </row>
    <row r="150" spans="1:11" x14ac:dyDescent="0.3">
      <c r="A150">
        <v>148</v>
      </c>
      <c r="B150" s="1" t="s">
        <v>168</v>
      </c>
      <c r="C150" s="1" t="s">
        <v>90</v>
      </c>
      <c r="D150">
        <v>367800</v>
      </c>
      <c r="E150" s="3">
        <v>46439</v>
      </c>
      <c r="F150">
        <v>0</v>
      </c>
      <c r="G150">
        <v>41</v>
      </c>
      <c r="H150">
        <v>72984</v>
      </c>
      <c r="I150">
        <v>29948</v>
      </c>
      <c r="J150">
        <v>84981</v>
      </c>
      <c r="K150">
        <v>2015</v>
      </c>
    </row>
    <row r="151" spans="1:11" x14ac:dyDescent="0.3">
      <c r="A151">
        <v>149</v>
      </c>
      <c r="B151" s="1" t="s">
        <v>169</v>
      </c>
      <c r="C151" s="1" t="s">
        <v>90</v>
      </c>
      <c r="D151">
        <v>366700</v>
      </c>
      <c r="E151" s="3">
        <v>202275</v>
      </c>
      <c r="F151">
        <v>54243</v>
      </c>
      <c r="G151">
        <v>44</v>
      </c>
      <c r="H151">
        <v>35090</v>
      </c>
      <c r="I151">
        <v>23102</v>
      </c>
      <c r="J151">
        <v>90454</v>
      </c>
      <c r="K151">
        <v>2015</v>
      </c>
    </row>
    <row r="152" spans="1:11" x14ac:dyDescent="0.3">
      <c r="A152">
        <v>150</v>
      </c>
      <c r="B152" s="1" t="s">
        <v>170</v>
      </c>
      <c r="C152" s="1" t="s">
        <v>90</v>
      </c>
      <c r="D152">
        <v>365600</v>
      </c>
      <c r="E152" s="3">
        <v>103032</v>
      </c>
      <c r="F152">
        <v>33144</v>
      </c>
      <c r="G152">
        <v>47</v>
      </c>
      <c r="H152">
        <v>56329</v>
      </c>
      <c r="I152">
        <v>36006</v>
      </c>
      <c r="J152">
        <v>78006</v>
      </c>
      <c r="K152">
        <v>2015</v>
      </c>
    </row>
    <row r="153" spans="1:11" x14ac:dyDescent="0.3">
      <c r="A153">
        <v>151</v>
      </c>
      <c r="B153" s="1" t="s">
        <v>171</v>
      </c>
      <c r="C153" s="1" t="s">
        <v>90</v>
      </c>
      <c r="D153">
        <v>365500</v>
      </c>
      <c r="E153" s="3">
        <v>275284</v>
      </c>
      <c r="F153">
        <v>54994</v>
      </c>
      <c r="G153">
        <v>44</v>
      </c>
      <c r="H153">
        <v>69977</v>
      </c>
      <c r="I153">
        <v>25337</v>
      </c>
      <c r="J153">
        <v>67528</v>
      </c>
      <c r="K153">
        <v>2015</v>
      </c>
    </row>
    <row r="154" spans="1:11" x14ac:dyDescent="0.3">
      <c r="A154">
        <v>152</v>
      </c>
      <c r="B154" s="1" t="s">
        <v>172</v>
      </c>
      <c r="C154" s="1" t="s">
        <v>90</v>
      </c>
      <c r="D154">
        <v>358700</v>
      </c>
      <c r="E154" s="3">
        <v>152693</v>
      </c>
      <c r="F154">
        <v>60752</v>
      </c>
      <c r="G154">
        <v>49</v>
      </c>
      <c r="H154">
        <v>58968</v>
      </c>
      <c r="I154">
        <v>27324</v>
      </c>
      <c r="J154">
        <v>76750</v>
      </c>
      <c r="K154">
        <v>2015</v>
      </c>
    </row>
    <row r="155" spans="1:11" x14ac:dyDescent="0.3">
      <c r="A155">
        <v>153</v>
      </c>
      <c r="B155" s="1" t="s">
        <v>173</v>
      </c>
      <c r="C155" s="1" t="s">
        <v>99</v>
      </c>
      <c r="D155">
        <v>357500</v>
      </c>
      <c r="E155" s="3">
        <v>189197</v>
      </c>
      <c r="F155">
        <v>21598</v>
      </c>
      <c r="G155">
        <v>50</v>
      </c>
      <c r="H155">
        <v>34960</v>
      </c>
      <c r="I155">
        <v>45874</v>
      </c>
      <c r="J155">
        <v>82391</v>
      </c>
      <c r="K155">
        <v>2015</v>
      </c>
    </row>
    <row r="156" spans="1:11" x14ac:dyDescent="0.3">
      <c r="A156">
        <v>154</v>
      </c>
      <c r="B156" s="1" t="s">
        <v>174</v>
      </c>
      <c r="C156" s="1" t="s">
        <v>90</v>
      </c>
      <c r="D156">
        <v>346500</v>
      </c>
      <c r="E156" s="3">
        <v>131375</v>
      </c>
      <c r="F156">
        <v>55176</v>
      </c>
      <c r="G156">
        <v>54</v>
      </c>
      <c r="H156">
        <v>88395</v>
      </c>
      <c r="I156">
        <v>28431</v>
      </c>
      <c r="J156">
        <v>0</v>
      </c>
      <c r="K156">
        <v>2015</v>
      </c>
    </row>
    <row r="157" spans="1:11" x14ac:dyDescent="0.3">
      <c r="A157">
        <v>155</v>
      </c>
      <c r="B157" s="1" t="s">
        <v>175</v>
      </c>
      <c r="C157" s="1" t="s">
        <v>90</v>
      </c>
      <c r="D157">
        <v>334000</v>
      </c>
      <c r="E157" s="3">
        <v>169577</v>
      </c>
      <c r="F157">
        <v>25236</v>
      </c>
      <c r="G157">
        <v>50</v>
      </c>
      <c r="H157">
        <v>72342</v>
      </c>
      <c r="I157">
        <v>22943</v>
      </c>
      <c r="J157">
        <v>85487</v>
      </c>
      <c r="K157">
        <v>2015</v>
      </c>
    </row>
    <row r="158" spans="1:11" x14ac:dyDescent="0.3">
      <c r="A158">
        <v>156</v>
      </c>
      <c r="B158" s="1" t="s">
        <v>176</v>
      </c>
      <c r="C158" s="1" t="s">
        <v>24</v>
      </c>
      <c r="D158">
        <v>300600</v>
      </c>
      <c r="E158" s="3">
        <v>392329</v>
      </c>
      <c r="F158">
        <v>33867</v>
      </c>
      <c r="G158">
        <v>65</v>
      </c>
      <c r="H158">
        <v>23418</v>
      </c>
      <c r="I158">
        <v>59279</v>
      </c>
      <c r="J158">
        <v>65745</v>
      </c>
      <c r="K158">
        <v>2015</v>
      </c>
    </row>
    <row r="159" spans="1:11" x14ac:dyDescent="0.3">
      <c r="A159">
        <v>157</v>
      </c>
      <c r="B159" s="1" t="s">
        <v>177</v>
      </c>
      <c r="C159" s="1" t="s">
        <v>90</v>
      </c>
      <c r="D159">
        <v>290500</v>
      </c>
      <c r="E159" s="3">
        <v>9053</v>
      </c>
      <c r="F159">
        <v>29658</v>
      </c>
      <c r="G159">
        <v>47</v>
      </c>
      <c r="H159">
        <v>17693</v>
      </c>
      <c r="I159">
        <v>24786</v>
      </c>
      <c r="J159">
        <v>81769</v>
      </c>
      <c r="K159">
        <v>2015</v>
      </c>
    </row>
    <row r="160" spans="1:11" x14ac:dyDescent="0.3">
      <c r="A160">
        <v>158</v>
      </c>
      <c r="B160" s="1" t="s">
        <v>178</v>
      </c>
      <c r="C160" s="1" t="s">
        <v>90</v>
      </c>
      <c r="D160">
        <v>283900</v>
      </c>
      <c r="E160" s="3">
        <v>123446</v>
      </c>
      <c r="F160">
        <v>9980</v>
      </c>
      <c r="G160">
        <v>49</v>
      </c>
      <c r="H160">
        <v>54429</v>
      </c>
      <c r="I160">
        <v>20959</v>
      </c>
      <c r="J160">
        <v>80556</v>
      </c>
      <c r="K160">
        <v>2015</v>
      </c>
    </row>
    <row r="161" spans="1:11" x14ac:dyDescent="0.3">
      <c r="A161">
        <v>111</v>
      </c>
      <c r="B161" s="1" t="s">
        <v>143</v>
      </c>
      <c r="C161" s="1" t="s">
        <v>90</v>
      </c>
      <c r="D161">
        <v>463500</v>
      </c>
      <c r="E161" s="3">
        <v>944368</v>
      </c>
      <c r="F161">
        <v>53074</v>
      </c>
      <c r="G161">
        <v>44</v>
      </c>
      <c r="H161">
        <v>50429</v>
      </c>
      <c r="I161">
        <v>29153</v>
      </c>
      <c r="J161">
        <v>16223</v>
      </c>
      <c r="K161">
        <v>2016</v>
      </c>
    </row>
    <row r="162" spans="1:11" x14ac:dyDescent="0.3">
      <c r="A162">
        <v>144</v>
      </c>
      <c r="B162" s="1" t="s">
        <v>169</v>
      </c>
      <c r="C162" s="1" t="s">
        <v>90</v>
      </c>
      <c r="D162">
        <v>376300</v>
      </c>
      <c r="E162" s="3">
        <v>942133</v>
      </c>
      <c r="F162">
        <v>53393</v>
      </c>
      <c r="G162">
        <v>46</v>
      </c>
      <c r="H162">
        <v>21048</v>
      </c>
      <c r="I162">
        <v>22772</v>
      </c>
      <c r="J162">
        <v>9803</v>
      </c>
      <c r="K162">
        <v>2016</v>
      </c>
    </row>
    <row r="163" spans="1:11" x14ac:dyDescent="0.3">
      <c r="A163">
        <v>139</v>
      </c>
      <c r="B163" s="1" t="s">
        <v>171</v>
      </c>
      <c r="C163" s="1" t="s">
        <v>90</v>
      </c>
      <c r="D163">
        <v>391600</v>
      </c>
      <c r="E163" s="3">
        <v>997862</v>
      </c>
      <c r="F163">
        <v>48659</v>
      </c>
      <c r="G163">
        <v>46</v>
      </c>
      <c r="H163">
        <v>66827</v>
      </c>
      <c r="I163">
        <v>24811</v>
      </c>
      <c r="J163">
        <v>30739</v>
      </c>
      <c r="K163">
        <v>2016</v>
      </c>
    </row>
    <row r="164" spans="1:11" x14ac:dyDescent="0.3">
      <c r="A164">
        <v>141</v>
      </c>
      <c r="B164" s="1" t="s">
        <v>157</v>
      </c>
      <c r="C164" s="1" t="s">
        <v>90</v>
      </c>
      <c r="D164">
        <v>386600</v>
      </c>
      <c r="E164" s="3">
        <v>992280</v>
      </c>
      <c r="F164">
        <v>56087</v>
      </c>
      <c r="G164">
        <v>46</v>
      </c>
      <c r="H164">
        <v>967</v>
      </c>
      <c r="I164">
        <v>14726</v>
      </c>
      <c r="J164">
        <v>16694</v>
      </c>
      <c r="K164">
        <v>2016</v>
      </c>
    </row>
    <row r="165" spans="1:11" x14ac:dyDescent="0.3">
      <c r="A165">
        <v>103</v>
      </c>
      <c r="B165" s="1" t="s">
        <v>97</v>
      </c>
      <c r="C165" s="1" t="s">
        <v>90</v>
      </c>
      <c r="D165">
        <v>487500</v>
      </c>
      <c r="E165" s="3">
        <v>970016</v>
      </c>
      <c r="F165">
        <v>54509</v>
      </c>
      <c r="G165">
        <v>46</v>
      </c>
      <c r="H165">
        <v>45776</v>
      </c>
      <c r="I165">
        <v>28325</v>
      </c>
      <c r="J165">
        <v>6037</v>
      </c>
      <c r="K165">
        <v>2016</v>
      </c>
    </row>
    <row r="166" spans="1:11" x14ac:dyDescent="0.3">
      <c r="A166">
        <v>76</v>
      </c>
      <c r="B166" s="1" t="s">
        <v>179</v>
      </c>
      <c r="C166" s="1" t="s">
        <v>90</v>
      </c>
      <c r="D166">
        <v>544000</v>
      </c>
      <c r="E166" s="3">
        <v>0</v>
      </c>
      <c r="F166">
        <v>28407</v>
      </c>
      <c r="G166">
        <v>49</v>
      </c>
      <c r="H166">
        <v>93311</v>
      </c>
      <c r="I166">
        <v>33213</v>
      </c>
      <c r="J166">
        <v>61717</v>
      </c>
      <c r="K166">
        <v>2016</v>
      </c>
    </row>
    <row r="167" spans="1:11" x14ac:dyDescent="0.3">
      <c r="A167">
        <v>114</v>
      </c>
      <c r="B167" s="1" t="s">
        <v>153</v>
      </c>
      <c r="C167" s="1" t="s">
        <v>90</v>
      </c>
      <c r="D167">
        <v>451300</v>
      </c>
      <c r="E167" s="3">
        <v>962138</v>
      </c>
      <c r="F167">
        <v>52856</v>
      </c>
      <c r="G167">
        <v>49</v>
      </c>
      <c r="H167">
        <v>70234</v>
      </c>
      <c r="I167">
        <v>27668</v>
      </c>
      <c r="J167">
        <v>12126</v>
      </c>
      <c r="K167">
        <v>2016</v>
      </c>
    </row>
    <row r="168" spans="1:11" x14ac:dyDescent="0.3">
      <c r="A168">
        <v>157</v>
      </c>
      <c r="B168" s="1" t="s">
        <v>177</v>
      </c>
      <c r="C168" s="1" t="s">
        <v>90</v>
      </c>
      <c r="D168">
        <v>290500</v>
      </c>
      <c r="E168" s="3">
        <v>736575</v>
      </c>
      <c r="F168">
        <v>19812</v>
      </c>
      <c r="G168">
        <v>51</v>
      </c>
      <c r="H168">
        <v>7100</v>
      </c>
      <c r="I168">
        <v>24753</v>
      </c>
      <c r="J168">
        <v>18643</v>
      </c>
      <c r="K168">
        <v>2016</v>
      </c>
    </row>
    <row r="169" spans="1:11" x14ac:dyDescent="0.3">
      <c r="A169">
        <v>143</v>
      </c>
      <c r="B169" s="1" t="s">
        <v>180</v>
      </c>
      <c r="C169" s="1" t="s">
        <v>90</v>
      </c>
      <c r="D169">
        <v>383200</v>
      </c>
      <c r="E169" s="3">
        <v>996735</v>
      </c>
      <c r="F169">
        <v>15651</v>
      </c>
      <c r="G169">
        <v>51</v>
      </c>
      <c r="H169">
        <v>32314</v>
      </c>
      <c r="I169">
        <v>31595</v>
      </c>
      <c r="J169">
        <v>25762</v>
      </c>
      <c r="K169">
        <v>2016</v>
      </c>
    </row>
    <row r="170" spans="1:11" x14ac:dyDescent="0.3">
      <c r="A170">
        <v>131</v>
      </c>
      <c r="B170" s="1" t="s">
        <v>135</v>
      </c>
      <c r="C170" s="1" t="s">
        <v>90</v>
      </c>
      <c r="D170">
        <v>419300</v>
      </c>
      <c r="E170" s="3">
        <v>951646</v>
      </c>
      <c r="F170">
        <v>60408</v>
      </c>
      <c r="G170">
        <v>51</v>
      </c>
      <c r="H170">
        <v>41791</v>
      </c>
      <c r="I170">
        <v>22573</v>
      </c>
      <c r="J170">
        <v>16986</v>
      </c>
      <c r="K170">
        <v>2016</v>
      </c>
    </row>
    <row r="171" spans="1:11" x14ac:dyDescent="0.3">
      <c r="A171">
        <v>135</v>
      </c>
      <c r="B171" s="1" t="s">
        <v>158</v>
      </c>
      <c r="C171" s="1" t="s">
        <v>90</v>
      </c>
      <c r="D171">
        <v>407300</v>
      </c>
      <c r="E171" s="3">
        <v>973172</v>
      </c>
      <c r="F171">
        <v>72962</v>
      </c>
      <c r="G171">
        <v>51</v>
      </c>
      <c r="H171">
        <v>45267</v>
      </c>
      <c r="I171">
        <v>25697</v>
      </c>
      <c r="J171">
        <v>27012</v>
      </c>
      <c r="K171">
        <v>2016</v>
      </c>
    </row>
    <row r="172" spans="1:11" x14ac:dyDescent="0.3">
      <c r="A172">
        <v>154</v>
      </c>
      <c r="B172" s="1" t="s">
        <v>173</v>
      </c>
      <c r="C172" s="1" t="s">
        <v>99</v>
      </c>
      <c r="D172">
        <v>336000</v>
      </c>
      <c r="E172" s="3">
        <v>963815</v>
      </c>
      <c r="F172">
        <v>9327</v>
      </c>
      <c r="G172">
        <v>51</v>
      </c>
      <c r="H172">
        <v>27002</v>
      </c>
      <c r="I172">
        <v>38145</v>
      </c>
      <c r="J172">
        <v>14077</v>
      </c>
      <c r="K172">
        <v>2016</v>
      </c>
    </row>
    <row r="173" spans="1:11" x14ac:dyDescent="0.3">
      <c r="A173">
        <v>116</v>
      </c>
      <c r="B173" s="1" t="s">
        <v>133</v>
      </c>
      <c r="C173" s="1" t="s">
        <v>90</v>
      </c>
      <c r="D173">
        <v>445900</v>
      </c>
      <c r="E173" s="3">
        <v>995684</v>
      </c>
      <c r="F173">
        <v>81177</v>
      </c>
      <c r="G173">
        <v>52</v>
      </c>
      <c r="H173">
        <v>69817</v>
      </c>
      <c r="I173">
        <v>16660</v>
      </c>
      <c r="J173">
        <v>16657</v>
      </c>
      <c r="K173">
        <v>2016</v>
      </c>
    </row>
    <row r="174" spans="1:11" x14ac:dyDescent="0.3">
      <c r="A174">
        <v>125</v>
      </c>
      <c r="B174" s="1" t="s">
        <v>140</v>
      </c>
      <c r="C174" s="1" t="s">
        <v>90</v>
      </c>
      <c r="D174">
        <v>427200</v>
      </c>
      <c r="E174" s="3">
        <v>790737</v>
      </c>
      <c r="F174">
        <v>68182</v>
      </c>
      <c r="G174">
        <v>52</v>
      </c>
      <c r="H174">
        <v>25640</v>
      </c>
      <c r="I174">
        <v>31057</v>
      </c>
      <c r="J174">
        <v>12025</v>
      </c>
      <c r="K174">
        <v>2016</v>
      </c>
    </row>
    <row r="175" spans="1:11" x14ac:dyDescent="0.3">
      <c r="A175">
        <v>151</v>
      </c>
      <c r="B175" s="1" t="s">
        <v>170</v>
      </c>
      <c r="C175" s="1" t="s">
        <v>90</v>
      </c>
      <c r="D175">
        <v>360700</v>
      </c>
      <c r="E175" s="3">
        <v>849819</v>
      </c>
      <c r="F175">
        <v>26275</v>
      </c>
      <c r="G175">
        <v>52</v>
      </c>
      <c r="H175">
        <v>50869</v>
      </c>
      <c r="I175">
        <v>36493</v>
      </c>
      <c r="J175">
        <v>23595</v>
      </c>
      <c r="K175">
        <v>2016</v>
      </c>
    </row>
    <row r="176" spans="1:11" x14ac:dyDescent="0.3">
      <c r="A176">
        <v>146</v>
      </c>
      <c r="B176" s="1" t="s">
        <v>161</v>
      </c>
      <c r="C176" s="1" t="s">
        <v>90</v>
      </c>
      <c r="D176">
        <v>373900</v>
      </c>
      <c r="E176" s="3">
        <v>988760</v>
      </c>
      <c r="F176">
        <v>76890</v>
      </c>
      <c r="G176">
        <v>52</v>
      </c>
      <c r="H176">
        <v>71741</v>
      </c>
      <c r="I176">
        <v>33063</v>
      </c>
      <c r="J176">
        <v>12751</v>
      </c>
      <c r="K176">
        <v>2016</v>
      </c>
    </row>
    <row r="177" spans="1:11" x14ac:dyDescent="0.3">
      <c r="A177">
        <v>153</v>
      </c>
      <c r="B177" s="1" t="s">
        <v>175</v>
      </c>
      <c r="C177" s="1" t="s">
        <v>90</v>
      </c>
      <c r="D177">
        <v>348400</v>
      </c>
      <c r="E177" s="3">
        <v>921448</v>
      </c>
      <c r="F177">
        <v>8805</v>
      </c>
      <c r="G177">
        <v>53</v>
      </c>
      <c r="H177">
        <v>65321</v>
      </c>
      <c r="I177">
        <v>24619</v>
      </c>
      <c r="J177">
        <v>13223</v>
      </c>
      <c r="K177">
        <v>2016</v>
      </c>
    </row>
    <row r="178" spans="1:11" x14ac:dyDescent="0.3">
      <c r="A178">
        <v>145</v>
      </c>
      <c r="B178" s="1" t="s">
        <v>172</v>
      </c>
      <c r="C178" s="1" t="s">
        <v>90</v>
      </c>
      <c r="D178">
        <v>373900</v>
      </c>
      <c r="E178" s="3">
        <v>968359</v>
      </c>
      <c r="F178">
        <v>53288</v>
      </c>
      <c r="G178">
        <v>53</v>
      </c>
      <c r="H178">
        <v>54841</v>
      </c>
      <c r="I178">
        <v>29709</v>
      </c>
      <c r="J178">
        <v>24807</v>
      </c>
      <c r="K178">
        <v>2016</v>
      </c>
    </row>
    <row r="179" spans="1:11" x14ac:dyDescent="0.3">
      <c r="A179">
        <v>150</v>
      </c>
      <c r="B179" s="1" t="s">
        <v>136</v>
      </c>
      <c r="C179" s="1" t="s">
        <v>90</v>
      </c>
      <c r="D179">
        <v>362200</v>
      </c>
      <c r="E179" s="3">
        <v>764019</v>
      </c>
      <c r="F179">
        <v>42554</v>
      </c>
      <c r="G179">
        <v>54</v>
      </c>
      <c r="H179">
        <v>42316</v>
      </c>
      <c r="I179">
        <v>29355</v>
      </c>
      <c r="J179">
        <v>9604</v>
      </c>
      <c r="K179">
        <v>2016</v>
      </c>
    </row>
    <row r="180" spans="1:11" x14ac:dyDescent="0.3">
      <c r="A180">
        <v>106</v>
      </c>
      <c r="B180" s="1" t="s">
        <v>105</v>
      </c>
      <c r="C180" s="1" t="s">
        <v>90</v>
      </c>
      <c r="D180">
        <v>479500</v>
      </c>
      <c r="E180" s="3">
        <v>996247</v>
      </c>
      <c r="F180">
        <v>53885</v>
      </c>
      <c r="G180">
        <v>54</v>
      </c>
      <c r="H180">
        <v>70112</v>
      </c>
      <c r="I180">
        <v>21795</v>
      </c>
      <c r="J180">
        <v>22721</v>
      </c>
      <c r="K180">
        <v>2016</v>
      </c>
    </row>
    <row r="181" spans="1:11" x14ac:dyDescent="0.3">
      <c r="A181">
        <v>155</v>
      </c>
      <c r="B181" s="1" t="s">
        <v>178</v>
      </c>
      <c r="C181" s="1" t="s">
        <v>90</v>
      </c>
      <c r="D181">
        <v>330300</v>
      </c>
      <c r="E181" s="3">
        <v>951589</v>
      </c>
      <c r="F181">
        <v>0</v>
      </c>
      <c r="G181">
        <v>54</v>
      </c>
      <c r="H181">
        <v>56991</v>
      </c>
      <c r="I181">
        <v>21369</v>
      </c>
      <c r="J181">
        <v>22935</v>
      </c>
      <c r="K181">
        <v>2016</v>
      </c>
    </row>
    <row r="182" spans="1:11" x14ac:dyDescent="0.3">
      <c r="A182">
        <v>142</v>
      </c>
      <c r="B182" s="1" t="s">
        <v>164</v>
      </c>
      <c r="C182" s="1" t="s">
        <v>90</v>
      </c>
      <c r="D182">
        <v>385600</v>
      </c>
      <c r="E182" s="3">
        <v>501702</v>
      </c>
      <c r="F182">
        <v>51155</v>
      </c>
      <c r="G182">
        <v>55</v>
      </c>
      <c r="H182">
        <v>62517</v>
      </c>
      <c r="I182">
        <v>25582</v>
      </c>
      <c r="J182">
        <v>33999</v>
      </c>
      <c r="K182">
        <v>2016</v>
      </c>
    </row>
    <row r="183" spans="1:11" x14ac:dyDescent="0.3">
      <c r="A183">
        <v>136</v>
      </c>
      <c r="B183" s="1" t="s">
        <v>139</v>
      </c>
      <c r="C183" s="1" t="s">
        <v>26</v>
      </c>
      <c r="D183">
        <v>402800</v>
      </c>
      <c r="E183" s="3">
        <v>999461</v>
      </c>
      <c r="F183">
        <v>24983</v>
      </c>
      <c r="G183">
        <v>55</v>
      </c>
      <c r="H183">
        <v>19840</v>
      </c>
      <c r="I183">
        <v>58506</v>
      </c>
      <c r="J183">
        <v>28653</v>
      </c>
      <c r="K183">
        <v>2016</v>
      </c>
    </row>
    <row r="184" spans="1:11" x14ac:dyDescent="0.3">
      <c r="A184">
        <v>127</v>
      </c>
      <c r="B184" s="1" t="s">
        <v>159</v>
      </c>
      <c r="C184" s="1" t="s">
        <v>90</v>
      </c>
      <c r="D184">
        <v>423600</v>
      </c>
      <c r="E184" s="3">
        <v>964441</v>
      </c>
      <c r="F184">
        <v>40396</v>
      </c>
      <c r="G184">
        <v>56</v>
      </c>
      <c r="H184">
        <v>62348</v>
      </c>
      <c r="I184">
        <v>14733</v>
      </c>
      <c r="J184">
        <v>19305</v>
      </c>
      <c r="K184">
        <v>2016</v>
      </c>
    </row>
    <row r="185" spans="1:11" x14ac:dyDescent="0.3">
      <c r="A185">
        <v>130</v>
      </c>
      <c r="B185" s="1" t="s">
        <v>144</v>
      </c>
      <c r="C185" s="1" t="s">
        <v>90</v>
      </c>
      <c r="D185">
        <v>420100</v>
      </c>
      <c r="E185" s="3">
        <v>967499</v>
      </c>
      <c r="F185">
        <v>71110</v>
      </c>
      <c r="G185">
        <v>56</v>
      </c>
      <c r="H185">
        <v>20839</v>
      </c>
      <c r="I185">
        <v>27676</v>
      </c>
      <c r="J185">
        <v>35540</v>
      </c>
      <c r="K185">
        <v>2016</v>
      </c>
    </row>
    <row r="186" spans="1:11" x14ac:dyDescent="0.3">
      <c r="A186">
        <v>132</v>
      </c>
      <c r="B186" s="1" t="s">
        <v>151</v>
      </c>
      <c r="C186" s="1" t="s">
        <v>90</v>
      </c>
      <c r="D186">
        <v>415600</v>
      </c>
      <c r="E186" s="3">
        <v>772189</v>
      </c>
      <c r="F186">
        <v>12423</v>
      </c>
      <c r="G186">
        <v>56</v>
      </c>
      <c r="H186">
        <v>68088</v>
      </c>
      <c r="I186">
        <v>37779</v>
      </c>
      <c r="J186">
        <v>14971</v>
      </c>
      <c r="K186">
        <v>2016</v>
      </c>
    </row>
    <row r="187" spans="1:11" x14ac:dyDescent="0.3">
      <c r="A187">
        <v>124</v>
      </c>
      <c r="B187" s="1" t="s">
        <v>134</v>
      </c>
      <c r="C187" s="1" t="s">
        <v>90</v>
      </c>
      <c r="D187">
        <v>427600</v>
      </c>
      <c r="E187" s="3">
        <v>928626</v>
      </c>
      <c r="F187">
        <v>41709</v>
      </c>
      <c r="G187">
        <v>56</v>
      </c>
      <c r="H187">
        <v>67337</v>
      </c>
      <c r="I187">
        <v>25867</v>
      </c>
      <c r="J187">
        <v>6453</v>
      </c>
      <c r="K187">
        <v>2016</v>
      </c>
    </row>
    <row r="188" spans="1:11" x14ac:dyDescent="0.3">
      <c r="A188">
        <v>133</v>
      </c>
      <c r="B188" s="1" t="s">
        <v>138</v>
      </c>
      <c r="C188" s="1" t="s">
        <v>90</v>
      </c>
      <c r="D188">
        <v>413900</v>
      </c>
      <c r="E188" s="3">
        <v>999269</v>
      </c>
      <c r="F188">
        <v>69239</v>
      </c>
      <c r="G188">
        <v>56</v>
      </c>
      <c r="H188">
        <v>0</v>
      </c>
      <c r="I188">
        <v>22053</v>
      </c>
      <c r="J188">
        <v>19870</v>
      </c>
      <c r="K188">
        <v>2016</v>
      </c>
    </row>
    <row r="189" spans="1:11" x14ac:dyDescent="0.3">
      <c r="A189">
        <v>138</v>
      </c>
      <c r="B189" s="1" t="s">
        <v>160</v>
      </c>
      <c r="C189" s="1" t="s">
        <v>90</v>
      </c>
      <c r="D189">
        <v>395600</v>
      </c>
      <c r="E189" s="3">
        <v>980559</v>
      </c>
      <c r="F189">
        <v>50980</v>
      </c>
      <c r="G189">
        <v>56</v>
      </c>
      <c r="H189">
        <v>25328</v>
      </c>
      <c r="I189">
        <v>22289</v>
      </c>
      <c r="J189">
        <v>36493</v>
      </c>
      <c r="K189">
        <v>2016</v>
      </c>
    </row>
    <row r="190" spans="1:11" x14ac:dyDescent="0.3">
      <c r="A190">
        <v>122</v>
      </c>
      <c r="B190" s="1" t="s">
        <v>145</v>
      </c>
      <c r="C190" s="1" t="s">
        <v>90</v>
      </c>
      <c r="D190">
        <v>435600</v>
      </c>
      <c r="E190" s="3">
        <v>994645</v>
      </c>
      <c r="F190">
        <v>64432</v>
      </c>
      <c r="G190">
        <v>56</v>
      </c>
      <c r="H190">
        <v>66683</v>
      </c>
      <c r="I190">
        <v>50418</v>
      </c>
      <c r="J190">
        <v>13234</v>
      </c>
      <c r="K190">
        <v>2016</v>
      </c>
    </row>
    <row r="191" spans="1:11" x14ac:dyDescent="0.3">
      <c r="A191">
        <v>147</v>
      </c>
      <c r="B191" s="1" t="s">
        <v>156</v>
      </c>
      <c r="C191" s="1" t="s">
        <v>24</v>
      </c>
      <c r="D191">
        <v>372400</v>
      </c>
      <c r="E191" s="3">
        <v>934875</v>
      </c>
      <c r="F191">
        <v>40138</v>
      </c>
      <c r="G191">
        <v>57</v>
      </c>
      <c r="H191">
        <v>37585</v>
      </c>
      <c r="I191">
        <v>11981</v>
      </c>
      <c r="J191">
        <v>11663</v>
      </c>
      <c r="K191">
        <v>2016</v>
      </c>
    </row>
    <row r="192" spans="1:11" x14ac:dyDescent="0.3">
      <c r="A192">
        <v>152</v>
      </c>
      <c r="B192" s="1" t="s">
        <v>174</v>
      </c>
      <c r="C192" s="1" t="s">
        <v>90</v>
      </c>
      <c r="D192">
        <v>351500</v>
      </c>
      <c r="E192" s="3">
        <v>955183</v>
      </c>
      <c r="F192">
        <v>52048</v>
      </c>
      <c r="G192">
        <v>57</v>
      </c>
      <c r="H192">
        <v>89271</v>
      </c>
      <c r="I192">
        <v>28732</v>
      </c>
      <c r="J192">
        <v>100000</v>
      </c>
      <c r="K192">
        <v>2016</v>
      </c>
    </row>
    <row r="193" spans="1:11" x14ac:dyDescent="0.3">
      <c r="A193">
        <v>97</v>
      </c>
      <c r="B193" s="1" t="s">
        <v>111</v>
      </c>
      <c r="C193" s="1" t="s">
        <v>90</v>
      </c>
      <c r="D193">
        <v>505700</v>
      </c>
      <c r="E193" s="3">
        <v>913349</v>
      </c>
      <c r="F193">
        <v>64113</v>
      </c>
      <c r="G193">
        <v>58</v>
      </c>
      <c r="H193">
        <v>64307</v>
      </c>
      <c r="I193">
        <v>62801</v>
      </c>
      <c r="J193">
        <v>72829</v>
      </c>
      <c r="K193">
        <v>2016</v>
      </c>
    </row>
    <row r="194" spans="1:11" x14ac:dyDescent="0.3">
      <c r="A194">
        <v>115</v>
      </c>
      <c r="B194" s="1" t="s">
        <v>142</v>
      </c>
      <c r="C194" s="1" t="s">
        <v>90</v>
      </c>
      <c r="D194">
        <v>450800</v>
      </c>
      <c r="E194" s="3">
        <v>921583</v>
      </c>
      <c r="F194">
        <v>32057</v>
      </c>
      <c r="G194">
        <v>58</v>
      </c>
      <c r="H194">
        <v>60319</v>
      </c>
      <c r="I194">
        <v>36015</v>
      </c>
      <c r="J194">
        <v>33986</v>
      </c>
      <c r="K194">
        <v>2016</v>
      </c>
    </row>
    <row r="195" spans="1:11" x14ac:dyDescent="0.3">
      <c r="A195">
        <v>113</v>
      </c>
      <c r="B195" s="1" t="s">
        <v>181</v>
      </c>
      <c r="C195" s="1" t="s">
        <v>90</v>
      </c>
      <c r="D195">
        <v>457400</v>
      </c>
      <c r="E195" s="3">
        <v>998753</v>
      </c>
      <c r="F195">
        <v>59464</v>
      </c>
      <c r="G195">
        <v>58</v>
      </c>
      <c r="H195">
        <v>79893</v>
      </c>
      <c r="I195">
        <v>9509</v>
      </c>
      <c r="J195">
        <v>20581</v>
      </c>
      <c r="K195">
        <v>2016</v>
      </c>
    </row>
    <row r="196" spans="1:11" x14ac:dyDescent="0.3">
      <c r="A196">
        <v>137</v>
      </c>
      <c r="B196" s="1" t="s">
        <v>148</v>
      </c>
      <c r="C196" s="1" t="s">
        <v>90</v>
      </c>
      <c r="D196">
        <v>397400</v>
      </c>
      <c r="E196" s="3">
        <v>997103</v>
      </c>
      <c r="F196">
        <v>75374</v>
      </c>
      <c r="G196">
        <v>58</v>
      </c>
      <c r="H196">
        <v>72458</v>
      </c>
      <c r="I196">
        <v>15158</v>
      </c>
      <c r="J196">
        <v>21317</v>
      </c>
      <c r="K196">
        <v>2016</v>
      </c>
    </row>
    <row r="197" spans="1:11" x14ac:dyDescent="0.3">
      <c r="A197">
        <v>134</v>
      </c>
      <c r="B197" s="1" t="s">
        <v>163</v>
      </c>
      <c r="C197" s="1" t="s">
        <v>90</v>
      </c>
      <c r="D197">
        <v>412100</v>
      </c>
      <c r="E197" s="3">
        <v>993276</v>
      </c>
      <c r="F197">
        <v>61160</v>
      </c>
      <c r="G197">
        <v>58</v>
      </c>
      <c r="H197">
        <v>46176</v>
      </c>
      <c r="I197">
        <v>7617</v>
      </c>
      <c r="J197">
        <v>18436</v>
      </c>
      <c r="K197">
        <v>2016</v>
      </c>
    </row>
    <row r="198" spans="1:11" x14ac:dyDescent="0.3">
      <c r="A198">
        <v>149</v>
      </c>
      <c r="B198" s="1" t="s">
        <v>166</v>
      </c>
      <c r="C198" s="1" t="s">
        <v>90</v>
      </c>
      <c r="D198">
        <v>366600</v>
      </c>
      <c r="E198" s="3">
        <v>957975</v>
      </c>
      <c r="F198">
        <v>65601</v>
      </c>
      <c r="G198">
        <v>59</v>
      </c>
      <c r="H198">
        <v>52196</v>
      </c>
      <c r="I198">
        <v>38394</v>
      </c>
      <c r="J198">
        <v>10093</v>
      </c>
      <c r="K198">
        <v>2016</v>
      </c>
    </row>
    <row r="199" spans="1:11" x14ac:dyDescent="0.3">
      <c r="A199">
        <v>148</v>
      </c>
      <c r="B199" s="1" t="s">
        <v>167</v>
      </c>
      <c r="C199" s="1" t="s">
        <v>90</v>
      </c>
      <c r="D199">
        <v>369500</v>
      </c>
      <c r="E199" s="3">
        <v>992691</v>
      </c>
      <c r="F199">
        <v>38973</v>
      </c>
      <c r="G199">
        <v>59</v>
      </c>
      <c r="H199">
        <v>22488</v>
      </c>
      <c r="I199">
        <v>26887</v>
      </c>
      <c r="J199">
        <v>14857</v>
      </c>
      <c r="K199">
        <v>2016</v>
      </c>
    </row>
    <row r="200" spans="1:11" x14ac:dyDescent="0.3">
      <c r="A200">
        <v>102</v>
      </c>
      <c r="B200" s="1" t="s">
        <v>119</v>
      </c>
      <c r="C200" s="1" t="s">
        <v>39</v>
      </c>
      <c r="D200">
        <v>487600</v>
      </c>
      <c r="E200" s="3">
        <v>986262</v>
      </c>
      <c r="F200">
        <v>46456</v>
      </c>
      <c r="G200">
        <v>60</v>
      </c>
      <c r="H200">
        <v>85734</v>
      </c>
      <c r="I200">
        <v>52554</v>
      </c>
      <c r="J200">
        <v>44383</v>
      </c>
      <c r="K200">
        <v>2016</v>
      </c>
    </row>
    <row r="201" spans="1:11" x14ac:dyDescent="0.3">
      <c r="A201">
        <v>119</v>
      </c>
      <c r="B201" s="1" t="s">
        <v>149</v>
      </c>
      <c r="C201" s="1" t="s">
        <v>39</v>
      </c>
      <c r="D201">
        <v>439500</v>
      </c>
      <c r="E201" s="3">
        <v>978674</v>
      </c>
      <c r="F201">
        <v>59143</v>
      </c>
      <c r="G201">
        <v>60</v>
      </c>
      <c r="H201">
        <v>70161</v>
      </c>
      <c r="I201">
        <v>100000</v>
      </c>
      <c r="J201">
        <v>40069</v>
      </c>
      <c r="K201">
        <v>2016</v>
      </c>
    </row>
    <row r="202" spans="1:11" x14ac:dyDescent="0.3">
      <c r="A202">
        <v>92</v>
      </c>
      <c r="B202" s="1" t="s">
        <v>101</v>
      </c>
      <c r="C202" s="1" t="s">
        <v>99</v>
      </c>
      <c r="D202">
        <v>513200</v>
      </c>
      <c r="E202" s="3">
        <v>993634</v>
      </c>
      <c r="F202">
        <v>22088</v>
      </c>
      <c r="G202">
        <v>60</v>
      </c>
      <c r="H202">
        <v>24030</v>
      </c>
      <c r="I202">
        <v>38043</v>
      </c>
      <c r="J202">
        <v>27475</v>
      </c>
      <c r="K202">
        <v>2016</v>
      </c>
    </row>
    <row r="203" spans="1:11" x14ac:dyDescent="0.3">
      <c r="A203">
        <v>128</v>
      </c>
      <c r="B203" s="1" t="s">
        <v>162</v>
      </c>
      <c r="C203" s="1" t="s">
        <v>90</v>
      </c>
      <c r="D203">
        <v>421900</v>
      </c>
      <c r="E203" s="3">
        <v>991461</v>
      </c>
      <c r="F203">
        <v>65426</v>
      </c>
      <c r="G203">
        <v>61</v>
      </c>
      <c r="H203">
        <v>51038</v>
      </c>
      <c r="I203">
        <v>23305</v>
      </c>
      <c r="J203">
        <v>23121</v>
      </c>
      <c r="K203">
        <v>2016</v>
      </c>
    </row>
    <row r="204" spans="1:11" x14ac:dyDescent="0.3">
      <c r="A204">
        <v>140</v>
      </c>
      <c r="B204" s="1" t="s">
        <v>165</v>
      </c>
      <c r="C204" s="1" t="s">
        <v>39</v>
      </c>
      <c r="D204">
        <v>390700</v>
      </c>
      <c r="E204" s="3">
        <v>990401</v>
      </c>
      <c r="F204">
        <v>45425</v>
      </c>
      <c r="G204">
        <v>61</v>
      </c>
      <c r="H204">
        <v>96719</v>
      </c>
      <c r="I204">
        <v>49211</v>
      </c>
      <c r="J204">
        <v>16018</v>
      </c>
      <c r="K204">
        <v>2016</v>
      </c>
    </row>
    <row r="205" spans="1:11" x14ac:dyDescent="0.3">
      <c r="A205">
        <v>65</v>
      </c>
      <c r="B205" s="1" t="s">
        <v>88</v>
      </c>
      <c r="C205" s="1" t="s">
        <v>62</v>
      </c>
      <c r="D205">
        <v>565800</v>
      </c>
      <c r="E205" s="3">
        <v>991722</v>
      </c>
      <c r="F205">
        <v>87739</v>
      </c>
      <c r="G205">
        <v>62</v>
      </c>
      <c r="H205">
        <v>61477</v>
      </c>
      <c r="I205">
        <v>27530</v>
      </c>
      <c r="J205">
        <v>56347</v>
      </c>
      <c r="K205">
        <v>2016</v>
      </c>
    </row>
    <row r="206" spans="1:11" x14ac:dyDescent="0.3">
      <c r="A206">
        <v>118</v>
      </c>
      <c r="B206" s="1" t="s">
        <v>137</v>
      </c>
      <c r="C206" s="1" t="s">
        <v>99</v>
      </c>
      <c r="D206">
        <v>440400</v>
      </c>
      <c r="E206" s="3">
        <v>999974</v>
      </c>
      <c r="F206">
        <v>24718</v>
      </c>
      <c r="G206">
        <v>62</v>
      </c>
      <c r="H206">
        <v>66205</v>
      </c>
      <c r="I206">
        <v>30533</v>
      </c>
      <c r="J206">
        <v>17265</v>
      </c>
      <c r="K206">
        <v>2016</v>
      </c>
    </row>
    <row r="207" spans="1:11" x14ac:dyDescent="0.3">
      <c r="A207">
        <v>52</v>
      </c>
      <c r="B207" s="1" t="s">
        <v>182</v>
      </c>
      <c r="C207" s="1" t="s">
        <v>26</v>
      </c>
      <c r="D207">
        <v>595600</v>
      </c>
      <c r="E207" s="3">
        <v>976528</v>
      </c>
      <c r="F207">
        <v>58022</v>
      </c>
      <c r="G207">
        <v>63</v>
      </c>
      <c r="H207">
        <v>84195</v>
      </c>
      <c r="I207">
        <v>28893</v>
      </c>
      <c r="J207">
        <v>21320</v>
      </c>
      <c r="K207">
        <v>2016</v>
      </c>
    </row>
    <row r="208" spans="1:11" x14ac:dyDescent="0.3">
      <c r="A208">
        <v>59</v>
      </c>
      <c r="B208" s="1" t="s">
        <v>69</v>
      </c>
      <c r="C208" s="1" t="s">
        <v>26</v>
      </c>
      <c r="D208">
        <v>582200</v>
      </c>
      <c r="E208" s="3">
        <v>972997</v>
      </c>
      <c r="F208">
        <v>70803</v>
      </c>
      <c r="G208">
        <v>63</v>
      </c>
      <c r="H208">
        <v>83751</v>
      </c>
      <c r="I208">
        <v>26470</v>
      </c>
      <c r="J208">
        <v>15332</v>
      </c>
      <c r="K208">
        <v>2016</v>
      </c>
    </row>
    <row r="209" spans="1:11" x14ac:dyDescent="0.3">
      <c r="A209">
        <v>82</v>
      </c>
      <c r="B209" s="1" t="s">
        <v>110</v>
      </c>
      <c r="C209" s="1" t="s">
        <v>39</v>
      </c>
      <c r="D209">
        <v>527900</v>
      </c>
      <c r="E209" s="3">
        <v>967256</v>
      </c>
      <c r="F209">
        <v>74267</v>
      </c>
      <c r="G209">
        <v>63</v>
      </c>
      <c r="H209">
        <v>90149</v>
      </c>
      <c r="I209">
        <v>26441</v>
      </c>
      <c r="J209">
        <v>23271</v>
      </c>
      <c r="K209">
        <v>2016</v>
      </c>
    </row>
    <row r="210" spans="1:11" x14ac:dyDescent="0.3">
      <c r="A210">
        <v>79</v>
      </c>
      <c r="B210" s="1" t="s">
        <v>93</v>
      </c>
      <c r="C210" s="1" t="s">
        <v>39</v>
      </c>
      <c r="D210">
        <v>531400</v>
      </c>
      <c r="E210" s="3">
        <v>996273</v>
      </c>
      <c r="F210">
        <v>74054</v>
      </c>
      <c r="G210">
        <v>64</v>
      </c>
      <c r="H210">
        <v>64483</v>
      </c>
      <c r="I210">
        <v>68953</v>
      </c>
      <c r="J210">
        <v>638</v>
      </c>
      <c r="K210">
        <v>2016</v>
      </c>
    </row>
    <row r="211" spans="1:11" x14ac:dyDescent="0.3">
      <c r="A211">
        <v>84</v>
      </c>
      <c r="B211" s="1" t="s">
        <v>98</v>
      </c>
      <c r="C211" s="1" t="s">
        <v>99</v>
      </c>
      <c r="D211">
        <v>519600</v>
      </c>
      <c r="E211" s="3">
        <v>988423</v>
      </c>
      <c r="F211">
        <v>76768</v>
      </c>
      <c r="G211">
        <v>64</v>
      </c>
      <c r="H211">
        <v>75719</v>
      </c>
      <c r="I211">
        <v>59223</v>
      </c>
      <c r="J211">
        <v>31987</v>
      </c>
      <c r="K211">
        <v>2016</v>
      </c>
    </row>
    <row r="212" spans="1:11" x14ac:dyDescent="0.3">
      <c r="A212">
        <v>107</v>
      </c>
      <c r="B212" s="1" t="s">
        <v>141</v>
      </c>
      <c r="C212" s="1" t="s">
        <v>99</v>
      </c>
      <c r="D212">
        <v>479300</v>
      </c>
      <c r="E212" s="3">
        <v>934497</v>
      </c>
      <c r="F212">
        <v>58904</v>
      </c>
      <c r="G212">
        <v>64</v>
      </c>
      <c r="H212">
        <v>60826</v>
      </c>
      <c r="I212">
        <v>46553</v>
      </c>
      <c r="J212">
        <v>13872</v>
      </c>
      <c r="K212">
        <v>2016</v>
      </c>
    </row>
    <row r="213" spans="1:11" x14ac:dyDescent="0.3">
      <c r="A213">
        <v>49</v>
      </c>
      <c r="B213" s="1" t="s">
        <v>61</v>
      </c>
      <c r="C213" s="1" t="s">
        <v>62</v>
      </c>
      <c r="D213">
        <v>598700</v>
      </c>
      <c r="E213" s="3">
        <v>992666</v>
      </c>
      <c r="F213">
        <v>98719</v>
      </c>
      <c r="G213">
        <v>64</v>
      </c>
      <c r="H213">
        <v>100000</v>
      </c>
      <c r="I213">
        <v>41876</v>
      </c>
      <c r="J213">
        <v>56081</v>
      </c>
      <c r="K213">
        <v>2016</v>
      </c>
    </row>
    <row r="214" spans="1:11" x14ac:dyDescent="0.3">
      <c r="A214">
        <v>40</v>
      </c>
      <c r="B214" s="1" t="s">
        <v>57</v>
      </c>
      <c r="C214" s="1" t="s">
        <v>26</v>
      </c>
      <c r="D214">
        <v>626900</v>
      </c>
      <c r="E214" s="3">
        <v>982217</v>
      </c>
      <c r="F214">
        <v>65807</v>
      </c>
      <c r="G214">
        <v>65</v>
      </c>
      <c r="H214">
        <v>85843</v>
      </c>
      <c r="I214">
        <v>20330</v>
      </c>
      <c r="J214">
        <v>25123</v>
      </c>
      <c r="K214">
        <v>2016</v>
      </c>
    </row>
    <row r="215" spans="1:11" x14ac:dyDescent="0.3">
      <c r="A215">
        <v>112</v>
      </c>
      <c r="B215" s="1" t="s">
        <v>132</v>
      </c>
      <c r="C215" s="1" t="s">
        <v>24</v>
      </c>
      <c r="D215">
        <v>457500</v>
      </c>
      <c r="E215" s="3">
        <v>995884</v>
      </c>
      <c r="F215">
        <v>50035</v>
      </c>
      <c r="G215">
        <v>65</v>
      </c>
      <c r="H215">
        <v>40849</v>
      </c>
      <c r="I215">
        <v>23897</v>
      </c>
      <c r="J215">
        <v>26990</v>
      </c>
      <c r="K215">
        <v>2016</v>
      </c>
    </row>
    <row r="216" spans="1:11" x14ac:dyDescent="0.3">
      <c r="A216">
        <v>120</v>
      </c>
      <c r="B216" s="1" t="s">
        <v>155</v>
      </c>
      <c r="C216" s="1" t="s">
        <v>24</v>
      </c>
      <c r="D216">
        <v>436200</v>
      </c>
      <c r="E216" s="3">
        <v>998272</v>
      </c>
      <c r="F216">
        <v>42098</v>
      </c>
      <c r="G216">
        <v>65</v>
      </c>
      <c r="H216">
        <v>30973</v>
      </c>
      <c r="I216">
        <v>15501</v>
      </c>
      <c r="J216">
        <v>20572</v>
      </c>
      <c r="K216">
        <v>2016</v>
      </c>
    </row>
    <row r="217" spans="1:11" x14ac:dyDescent="0.3">
      <c r="A217">
        <v>67</v>
      </c>
      <c r="B217" s="1" t="s">
        <v>81</v>
      </c>
      <c r="C217" s="1" t="s">
        <v>24</v>
      </c>
      <c r="D217">
        <v>561500</v>
      </c>
      <c r="E217" s="3">
        <v>997807</v>
      </c>
      <c r="F217">
        <v>80351</v>
      </c>
      <c r="G217">
        <v>65</v>
      </c>
      <c r="H217">
        <v>66842</v>
      </c>
      <c r="I217">
        <v>20845</v>
      </c>
      <c r="J217">
        <v>20465</v>
      </c>
      <c r="K217">
        <v>2016</v>
      </c>
    </row>
    <row r="218" spans="1:11" x14ac:dyDescent="0.3">
      <c r="A218">
        <v>55</v>
      </c>
      <c r="B218" s="1" t="s">
        <v>70</v>
      </c>
      <c r="C218" s="1" t="s">
        <v>12</v>
      </c>
      <c r="D218">
        <v>589700</v>
      </c>
      <c r="E218" s="3">
        <v>996358</v>
      </c>
      <c r="F218">
        <v>70257</v>
      </c>
      <c r="G218">
        <v>65</v>
      </c>
      <c r="H218">
        <v>41419</v>
      </c>
      <c r="I218">
        <v>24396</v>
      </c>
      <c r="J218">
        <v>3767</v>
      </c>
      <c r="K218">
        <v>2016</v>
      </c>
    </row>
    <row r="219" spans="1:11" x14ac:dyDescent="0.3">
      <c r="A219">
        <v>43</v>
      </c>
      <c r="B219" s="1" t="s">
        <v>58</v>
      </c>
      <c r="C219" s="1" t="s">
        <v>26</v>
      </c>
      <c r="D219">
        <v>616800</v>
      </c>
      <c r="E219" s="3">
        <v>989094</v>
      </c>
      <c r="F219">
        <v>83303</v>
      </c>
      <c r="G219">
        <v>65</v>
      </c>
      <c r="H219">
        <v>79629</v>
      </c>
      <c r="I219">
        <v>38959</v>
      </c>
      <c r="J219">
        <v>2456</v>
      </c>
      <c r="K219">
        <v>2016</v>
      </c>
    </row>
    <row r="220" spans="1:11" x14ac:dyDescent="0.3">
      <c r="A220">
        <v>110</v>
      </c>
      <c r="B220" s="1" t="s">
        <v>129</v>
      </c>
      <c r="C220" s="1" t="s">
        <v>99</v>
      </c>
      <c r="D220">
        <v>464300</v>
      </c>
      <c r="E220" s="3">
        <v>970737</v>
      </c>
      <c r="F220">
        <v>20916</v>
      </c>
      <c r="G220">
        <v>66</v>
      </c>
      <c r="H220">
        <v>65372</v>
      </c>
      <c r="I220">
        <v>23340</v>
      </c>
      <c r="J220">
        <v>24907</v>
      </c>
      <c r="K220">
        <v>2016</v>
      </c>
    </row>
    <row r="221" spans="1:11" x14ac:dyDescent="0.3">
      <c r="A221">
        <v>100</v>
      </c>
      <c r="B221" s="1" t="s">
        <v>126</v>
      </c>
      <c r="C221" s="1" t="s">
        <v>62</v>
      </c>
      <c r="D221">
        <v>499600</v>
      </c>
      <c r="E221" s="3">
        <v>919796</v>
      </c>
      <c r="F221">
        <v>63893</v>
      </c>
      <c r="G221">
        <v>66</v>
      </c>
      <c r="H221">
        <v>71338</v>
      </c>
      <c r="I221">
        <v>31716</v>
      </c>
      <c r="J221">
        <v>26739</v>
      </c>
      <c r="K221">
        <v>2016</v>
      </c>
    </row>
    <row r="222" spans="1:11" x14ac:dyDescent="0.3">
      <c r="A222">
        <v>77</v>
      </c>
      <c r="B222" s="1" t="s">
        <v>87</v>
      </c>
      <c r="C222" s="1" t="s">
        <v>47</v>
      </c>
      <c r="D222">
        <v>540100</v>
      </c>
      <c r="E222" s="3">
        <v>958862</v>
      </c>
      <c r="F222">
        <v>55831</v>
      </c>
      <c r="G222">
        <v>66</v>
      </c>
      <c r="H222">
        <v>23659</v>
      </c>
      <c r="I222">
        <v>34149</v>
      </c>
      <c r="J222">
        <v>12959</v>
      </c>
      <c r="K222">
        <v>2016</v>
      </c>
    </row>
    <row r="223" spans="1:11" x14ac:dyDescent="0.3">
      <c r="A223">
        <v>39</v>
      </c>
      <c r="B223" s="1" t="s">
        <v>60</v>
      </c>
      <c r="C223" s="1" t="s">
        <v>26</v>
      </c>
      <c r="D223">
        <v>632400</v>
      </c>
      <c r="E223" s="3">
        <v>995073</v>
      </c>
      <c r="F223">
        <v>73626</v>
      </c>
      <c r="G223">
        <v>66</v>
      </c>
      <c r="H223">
        <v>82794</v>
      </c>
      <c r="I223">
        <v>35145</v>
      </c>
      <c r="J223">
        <v>17223</v>
      </c>
      <c r="K223">
        <v>2016</v>
      </c>
    </row>
    <row r="224" spans="1:11" x14ac:dyDescent="0.3">
      <c r="A224">
        <v>81</v>
      </c>
      <c r="B224" s="1" t="s">
        <v>100</v>
      </c>
      <c r="C224" s="1" t="s">
        <v>62</v>
      </c>
      <c r="D224">
        <v>529100</v>
      </c>
      <c r="E224" s="3">
        <v>992557</v>
      </c>
      <c r="F224">
        <v>64265</v>
      </c>
      <c r="G224">
        <v>66</v>
      </c>
      <c r="H224">
        <v>58057</v>
      </c>
      <c r="I224">
        <v>6880</v>
      </c>
      <c r="J224">
        <v>35458</v>
      </c>
      <c r="K224">
        <v>2016</v>
      </c>
    </row>
    <row r="225" spans="1:11" x14ac:dyDescent="0.3">
      <c r="A225">
        <v>85</v>
      </c>
      <c r="B225" s="1" t="s">
        <v>96</v>
      </c>
      <c r="C225" s="1" t="s">
        <v>62</v>
      </c>
      <c r="D225">
        <v>518500</v>
      </c>
      <c r="E225" s="3">
        <v>960064</v>
      </c>
      <c r="F225">
        <v>80653</v>
      </c>
      <c r="G225">
        <v>67</v>
      </c>
      <c r="H225">
        <v>66086</v>
      </c>
      <c r="I225">
        <v>46884</v>
      </c>
      <c r="J225">
        <v>9426</v>
      </c>
      <c r="K225">
        <v>2016</v>
      </c>
    </row>
    <row r="226" spans="1:11" x14ac:dyDescent="0.3">
      <c r="A226">
        <v>101</v>
      </c>
      <c r="B226" s="1" t="s">
        <v>120</v>
      </c>
      <c r="C226" s="1" t="s">
        <v>55</v>
      </c>
      <c r="D226">
        <v>490700</v>
      </c>
      <c r="E226" s="3">
        <v>990815</v>
      </c>
      <c r="F226">
        <v>92104</v>
      </c>
      <c r="G226">
        <v>67</v>
      </c>
      <c r="H226">
        <v>59117</v>
      </c>
      <c r="I226">
        <v>42135</v>
      </c>
      <c r="J226">
        <v>6502</v>
      </c>
      <c r="K226">
        <v>2016</v>
      </c>
    </row>
    <row r="227" spans="1:11" x14ac:dyDescent="0.3">
      <c r="A227">
        <v>108</v>
      </c>
      <c r="B227" s="1" t="s">
        <v>128</v>
      </c>
      <c r="C227" s="1" t="s">
        <v>24</v>
      </c>
      <c r="D227">
        <v>475400</v>
      </c>
      <c r="E227" s="3">
        <v>981712</v>
      </c>
      <c r="F227">
        <v>60536</v>
      </c>
      <c r="G227">
        <v>67</v>
      </c>
      <c r="H227">
        <v>29161</v>
      </c>
      <c r="I227">
        <v>13607</v>
      </c>
      <c r="J227">
        <v>21008</v>
      </c>
      <c r="K227">
        <v>2016</v>
      </c>
    </row>
    <row r="228" spans="1:11" x14ac:dyDescent="0.3">
      <c r="A228">
        <v>54</v>
      </c>
      <c r="B228" s="1" t="s">
        <v>72</v>
      </c>
      <c r="C228" s="1" t="s">
        <v>62</v>
      </c>
      <c r="D228">
        <v>591900</v>
      </c>
      <c r="E228" s="3">
        <v>997172</v>
      </c>
      <c r="F228">
        <v>80746</v>
      </c>
      <c r="G228">
        <v>67</v>
      </c>
      <c r="H228">
        <v>66592</v>
      </c>
      <c r="I228">
        <v>18313</v>
      </c>
      <c r="J228">
        <v>22034</v>
      </c>
      <c r="K228">
        <v>2016</v>
      </c>
    </row>
    <row r="229" spans="1:11" x14ac:dyDescent="0.3">
      <c r="A229">
        <v>89</v>
      </c>
      <c r="B229" s="1" t="s">
        <v>118</v>
      </c>
      <c r="C229" s="1" t="s">
        <v>26</v>
      </c>
      <c r="D229">
        <v>515500</v>
      </c>
      <c r="E229" s="3">
        <v>997101</v>
      </c>
      <c r="F229">
        <v>84086</v>
      </c>
      <c r="G229">
        <v>67</v>
      </c>
      <c r="H229">
        <v>85883</v>
      </c>
      <c r="I229">
        <v>25967</v>
      </c>
      <c r="J229">
        <v>24488</v>
      </c>
      <c r="K229">
        <v>2016</v>
      </c>
    </row>
    <row r="230" spans="1:11" x14ac:dyDescent="0.3">
      <c r="A230">
        <v>70</v>
      </c>
      <c r="B230" s="1" t="s">
        <v>71</v>
      </c>
      <c r="C230" s="1" t="s">
        <v>26</v>
      </c>
      <c r="D230">
        <v>553800</v>
      </c>
      <c r="E230" s="3">
        <v>989537</v>
      </c>
      <c r="F230">
        <v>93902</v>
      </c>
      <c r="G230">
        <v>68</v>
      </c>
      <c r="H230">
        <v>75984</v>
      </c>
      <c r="I230">
        <v>30859</v>
      </c>
      <c r="J230">
        <v>14639</v>
      </c>
      <c r="K230">
        <v>2016</v>
      </c>
    </row>
    <row r="231" spans="1:11" x14ac:dyDescent="0.3">
      <c r="A231">
        <v>104</v>
      </c>
      <c r="B231" s="1" t="s">
        <v>125</v>
      </c>
      <c r="C231" s="1" t="s">
        <v>26</v>
      </c>
      <c r="D231">
        <v>487100</v>
      </c>
      <c r="E231" s="3">
        <v>930923</v>
      </c>
      <c r="F231">
        <v>63888</v>
      </c>
      <c r="G231">
        <v>68</v>
      </c>
      <c r="H231">
        <v>43970</v>
      </c>
      <c r="I231">
        <v>24936</v>
      </c>
      <c r="J231">
        <v>13670</v>
      </c>
      <c r="K231">
        <v>2016</v>
      </c>
    </row>
    <row r="232" spans="1:11" x14ac:dyDescent="0.3">
      <c r="A232">
        <v>123</v>
      </c>
      <c r="B232" s="1" t="s">
        <v>131</v>
      </c>
      <c r="C232" s="1" t="s">
        <v>12</v>
      </c>
      <c r="D232">
        <v>432400</v>
      </c>
      <c r="E232" s="3">
        <v>998844</v>
      </c>
      <c r="F232">
        <v>85707</v>
      </c>
      <c r="G232">
        <v>68</v>
      </c>
      <c r="H232">
        <v>21133</v>
      </c>
      <c r="I232">
        <v>24841</v>
      </c>
      <c r="J232">
        <v>3621</v>
      </c>
      <c r="K232">
        <v>2016</v>
      </c>
    </row>
    <row r="233" spans="1:11" x14ac:dyDescent="0.3">
      <c r="A233">
        <v>56</v>
      </c>
      <c r="B233" s="1" t="s">
        <v>82</v>
      </c>
      <c r="C233" s="1" t="s">
        <v>62</v>
      </c>
      <c r="D233">
        <v>585600</v>
      </c>
      <c r="E233" s="3">
        <v>991010</v>
      </c>
      <c r="F233">
        <v>88958</v>
      </c>
      <c r="G233">
        <v>68</v>
      </c>
      <c r="H233">
        <v>53710</v>
      </c>
      <c r="I233">
        <v>3338</v>
      </c>
      <c r="J233">
        <v>7097</v>
      </c>
      <c r="K233">
        <v>2016</v>
      </c>
    </row>
    <row r="234" spans="1:11" x14ac:dyDescent="0.3">
      <c r="A234">
        <v>34</v>
      </c>
      <c r="B234" s="1" t="s">
        <v>51</v>
      </c>
      <c r="C234" s="1" t="s">
        <v>24</v>
      </c>
      <c r="D234">
        <v>637900</v>
      </c>
      <c r="E234" s="3">
        <v>985068</v>
      </c>
      <c r="F234">
        <v>71691</v>
      </c>
      <c r="G234">
        <v>68</v>
      </c>
      <c r="H234">
        <v>62293</v>
      </c>
      <c r="I234">
        <v>18857</v>
      </c>
      <c r="J234">
        <v>59396</v>
      </c>
      <c r="K234">
        <v>2016</v>
      </c>
    </row>
    <row r="235" spans="1:11" x14ac:dyDescent="0.3">
      <c r="A235">
        <v>73</v>
      </c>
      <c r="B235" s="1" t="s">
        <v>83</v>
      </c>
      <c r="C235" s="1" t="s">
        <v>26</v>
      </c>
      <c r="D235">
        <v>551000</v>
      </c>
      <c r="E235" s="3">
        <v>999455</v>
      </c>
      <c r="F235">
        <v>81446</v>
      </c>
      <c r="G235">
        <v>68</v>
      </c>
      <c r="H235">
        <v>71649</v>
      </c>
      <c r="I235">
        <v>27138</v>
      </c>
      <c r="J235">
        <v>8499</v>
      </c>
      <c r="K235">
        <v>2016</v>
      </c>
    </row>
    <row r="236" spans="1:11" x14ac:dyDescent="0.3">
      <c r="A236">
        <v>90</v>
      </c>
      <c r="B236" s="1" t="s">
        <v>112</v>
      </c>
      <c r="C236" s="1" t="s">
        <v>24</v>
      </c>
      <c r="D236">
        <v>515100</v>
      </c>
      <c r="E236" s="3">
        <v>990293</v>
      </c>
      <c r="F236">
        <v>32618</v>
      </c>
      <c r="G236">
        <v>68</v>
      </c>
      <c r="H236">
        <v>42148</v>
      </c>
      <c r="I236">
        <v>4944</v>
      </c>
      <c r="J236">
        <v>16635</v>
      </c>
      <c r="K236">
        <v>2016</v>
      </c>
    </row>
    <row r="237" spans="1:11" x14ac:dyDescent="0.3">
      <c r="A237">
        <v>98</v>
      </c>
      <c r="B237" s="1" t="s">
        <v>127</v>
      </c>
      <c r="C237" s="1" t="s">
        <v>24</v>
      </c>
      <c r="D237">
        <v>504500</v>
      </c>
      <c r="E237" s="3">
        <v>986052</v>
      </c>
      <c r="F237">
        <v>36480</v>
      </c>
      <c r="G237">
        <v>68</v>
      </c>
      <c r="H237">
        <v>38707</v>
      </c>
      <c r="I237">
        <v>4802</v>
      </c>
      <c r="J237">
        <v>16171</v>
      </c>
      <c r="K237">
        <v>2016</v>
      </c>
    </row>
    <row r="238" spans="1:11" x14ac:dyDescent="0.3">
      <c r="A238">
        <v>46</v>
      </c>
      <c r="B238" s="1" t="s">
        <v>59</v>
      </c>
      <c r="C238" s="1" t="s">
        <v>26</v>
      </c>
      <c r="D238">
        <v>606800</v>
      </c>
      <c r="E238" s="3">
        <v>996561</v>
      </c>
      <c r="F238">
        <v>68434</v>
      </c>
      <c r="G238">
        <v>68</v>
      </c>
      <c r="H238">
        <v>61248</v>
      </c>
      <c r="I238">
        <v>10830</v>
      </c>
      <c r="J238">
        <v>21006</v>
      </c>
      <c r="K238">
        <v>2016</v>
      </c>
    </row>
    <row r="239" spans="1:11" x14ac:dyDescent="0.3">
      <c r="A239">
        <v>31</v>
      </c>
      <c r="B239" s="1" t="s">
        <v>49</v>
      </c>
      <c r="C239" s="1" t="s">
        <v>26</v>
      </c>
      <c r="D239">
        <v>648100</v>
      </c>
      <c r="E239" s="3">
        <v>995212</v>
      </c>
      <c r="F239">
        <v>86346</v>
      </c>
      <c r="G239">
        <v>68</v>
      </c>
      <c r="H239">
        <v>73519</v>
      </c>
      <c r="I239">
        <v>19063</v>
      </c>
      <c r="J239">
        <v>10686</v>
      </c>
      <c r="K239">
        <v>2016</v>
      </c>
    </row>
    <row r="240" spans="1:11" x14ac:dyDescent="0.3">
      <c r="A240">
        <v>80</v>
      </c>
      <c r="B240" s="1" t="s">
        <v>103</v>
      </c>
      <c r="C240" s="1" t="s">
        <v>24</v>
      </c>
      <c r="D240">
        <v>530300</v>
      </c>
      <c r="E240" s="3">
        <v>972954</v>
      </c>
      <c r="F240">
        <v>72863</v>
      </c>
      <c r="G240">
        <v>69</v>
      </c>
      <c r="H240">
        <v>59201</v>
      </c>
      <c r="I240">
        <v>17399</v>
      </c>
      <c r="J240">
        <v>26320</v>
      </c>
      <c r="K240">
        <v>2016</v>
      </c>
    </row>
    <row r="241" spans="1:11" x14ac:dyDescent="0.3">
      <c r="A241">
        <v>17</v>
      </c>
      <c r="B241" s="1" t="s">
        <v>30</v>
      </c>
      <c r="C241" s="1" t="s">
        <v>26</v>
      </c>
      <c r="D241">
        <v>695200</v>
      </c>
      <c r="E241" s="3">
        <v>998032</v>
      </c>
      <c r="F241">
        <v>87840</v>
      </c>
      <c r="G241">
        <v>69</v>
      </c>
      <c r="H241">
        <v>66437</v>
      </c>
      <c r="I241">
        <v>19246</v>
      </c>
      <c r="J241">
        <v>28040</v>
      </c>
      <c r="K241">
        <v>2016</v>
      </c>
    </row>
    <row r="242" spans="1:11" x14ac:dyDescent="0.3">
      <c r="A242">
        <v>38</v>
      </c>
      <c r="B242" s="1" t="s">
        <v>86</v>
      </c>
      <c r="C242" s="1" t="s">
        <v>24</v>
      </c>
      <c r="D242">
        <v>635500</v>
      </c>
      <c r="E242" s="3">
        <v>983726</v>
      </c>
      <c r="F242">
        <v>70406</v>
      </c>
      <c r="G242">
        <v>69</v>
      </c>
      <c r="H242">
        <v>34521</v>
      </c>
      <c r="I242">
        <v>8593</v>
      </c>
      <c r="J242">
        <v>31981</v>
      </c>
      <c r="K242">
        <v>2016</v>
      </c>
    </row>
    <row r="243" spans="1:11" x14ac:dyDescent="0.3">
      <c r="A243">
        <v>44</v>
      </c>
      <c r="B243" s="1" t="s">
        <v>37</v>
      </c>
      <c r="C243" s="1" t="s">
        <v>26</v>
      </c>
      <c r="D243">
        <v>608400</v>
      </c>
      <c r="E243" s="3">
        <v>989269</v>
      </c>
      <c r="F243">
        <v>87303</v>
      </c>
      <c r="G243">
        <v>69</v>
      </c>
      <c r="H243">
        <v>32618</v>
      </c>
      <c r="I243">
        <v>5185</v>
      </c>
      <c r="J243">
        <v>16437</v>
      </c>
      <c r="K243">
        <v>2016</v>
      </c>
    </row>
    <row r="244" spans="1:11" x14ac:dyDescent="0.3">
      <c r="A244">
        <v>117</v>
      </c>
      <c r="B244" s="1" t="s">
        <v>152</v>
      </c>
      <c r="C244" s="1" t="s">
        <v>99</v>
      </c>
      <c r="D244">
        <v>441500</v>
      </c>
      <c r="E244" s="3">
        <v>994924</v>
      </c>
      <c r="F244">
        <v>71652</v>
      </c>
      <c r="G244">
        <v>69</v>
      </c>
      <c r="H244">
        <v>83515</v>
      </c>
      <c r="I244">
        <v>57311</v>
      </c>
      <c r="J244">
        <v>15763</v>
      </c>
      <c r="K244">
        <v>2016</v>
      </c>
    </row>
    <row r="245" spans="1:11" x14ac:dyDescent="0.3">
      <c r="A245">
        <v>47</v>
      </c>
      <c r="B245" s="1" t="s">
        <v>79</v>
      </c>
      <c r="C245" s="1" t="s">
        <v>39</v>
      </c>
      <c r="D245">
        <v>600500</v>
      </c>
      <c r="E245" s="3">
        <v>982890</v>
      </c>
      <c r="F245">
        <v>74392</v>
      </c>
      <c r="G245">
        <v>69</v>
      </c>
      <c r="H245">
        <v>64144</v>
      </c>
      <c r="I245">
        <v>50595</v>
      </c>
      <c r="J245">
        <v>17975</v>
      </c>
      <c r="K245">
        <v>2016</v>
      </c>
    </row>
    <row r="246" spans="1:11" x14ac:dyDescent="0.3">
      <c r="A246">
        <v>156</v>
      </c>
      <c r="B246" s="1" t="s">
        <v>176</v>
      </c>
      <c r="C246" s="1" t="s">
        <v>24</v>
      </c>
      <c r="D246">
        <v>306900</v>
      </c>
      <c r="E246" s="3">
        <v>991917</v>
      </c>
      <c r="F246">
        <v>12563</v>
      </c>
      <c r="G246">
        <v>70</v>
      </c>
      <c r="H246">
        <v>11360</v>
      </c>
      <c r="I246">
        <v>59041</v>
      </c>
      <c r="J246">
        <v>34111</v>
      </c>
      <c r="K246">
        <v>2016</v>
      </c>
    </row>
    <row r="247" spans="1:11" x14ac:dyDescent="0.3">
      <c r="A247">
        <v>64</v>
      </c>
      <c r="B247" s="1" t="s">
        <v>76</v>
      </c>
      <c r="C247" s="1" t="s">
        <v>26</v>
      </c>
      <c r="D247">
        <v>574300</v>
      </c>
      <c r="E247" s="3">
        <v>999132</v>
      </c>
      <c r="F247">
        <v>68671</v>
      </c>
      <c r="G247">
        <v>70</v>
      </c>
      <c r="H247">
        <v>61631</v>
      </c>
      <c r="I247">
        <v>17722</v>
      </c>
      <c r="J247">
        <v>10475</v>
      </c>
      <c r="K247">
        <v>2016</v>
      </c>
    </row>
    <row r="248" spans="1:11" x14ac:dyDescent="0.3">
      <c r="A248">
        <v>61</v>
      </c>
      <c r="B248" s="1" t="s">
        <v>77</v>
      </c>
      <c r="C248" s="1" t="s">
        <v>62</v>
      </c>
      <c r="D248">
        <v>580200</v>
      </c>
      <c r="E248" s="3">
        <v>996713</v>
      </c>
      <c r="F248">
        <v>88732</v>
      </c>
      <c r="G248">
        <v>70</v>
      </c>
      <c r="H248">
        <v>47809</v>
      </c>
      <c r="I248">
        <v>17008</v>
      </c>
      <c r="J248">
        <v>34554</v>
      </c>
      <c r="K248">
        <v>2016</v>
      </c>
    </row>
    <row r="249" spans="1:11" x14ac:dyDescent="0.3">
      <c r="A249">
        <v>88</v>
      </c>
      <c r="B249" s="1" t="s">
        <v>102</v>
      </c>
      <c r="C249" s="1" t="s">
        <v>12</v>
      </c>
      <c r="D249">
        <v>516100</v>
      </c>
      <c r="E249" s="3">
        <v>997972</v>
      </c>
      <c r="F249">
        <v>62685</v>
      </c>
      <c r="G249">
        <v>70</v>
      </c>
      <c r="H249">
        <v>24833</v>
      </c>
      <c r="I249">
        <v>20972</v>
      </c>
      <c r="J249">
        <v>25180</v>
      </c>
      <c r="K249">
        <v>2016</v>
      </c>
    </row>
    <row r="250" spans="1:11" x14ac:dyDescent="0.3">
      <c r="A250">
        <v>41</v>
      </c>
      <c r="B250" s="1" t="s">
        <v>56</v>
      </c>
      <c r="C250" s="1" t="s">
        <v>24</v>
      </c>
      <c r="D250">
        <v>623900</v>
      </c>
      <c r="E250" s="3">
        <v>978917</v>
      </c>
      <c r="F250">
        <v>74167</v>
      </c>
      <c r="G250">
        <v>70</v>
      </c>
      <c r="H250">
        <v>70941</v>
      </c>
      <c r="I250">
        <v>19477</v>
      </c>
      <c r="J250">
        <v>46850</v>
      </c>
      <c r="K250">
        <v>2016</v>
      </c>
    </row>
    <row r="251" spans="1:11" x14ac:dyDescent="0.3">
      <c r="A251">
        <v>68</v>
      </c>
      <c r="B251" s="1" t="s">
        <v>109</v>
      </c>
      <c r="C251" s="1" t="s">
        <v>12</v>
      </c>
      <c r="D251">
        <v>556000</v>
      </c>
      <c r="E251" s="3">
        <v>988524</v>
      </c>
      <c r="F251">
        <v>80308</v>
      </c>
      <c r="G251">
        <v>70</v>
      </c>
      <c r="H251">
        <v>46009</v>
      </c>
      <c r="I251">
        <v>21282</v>
      </c>
      <c r="J251">
        <v>17596</v>
      </c>
      <c r="K251">
        <v>2016</v>
      </c>
    </row>
    <row r="252" spans="1:11" x14ac:dyDescent="0.3">
      <c r="A252">
        <v>126</v>
      </c>
      <c r="B252" s="1" t="s">
        <v>150</v>
      </c>
      <c r="C252" s="1" t="s">
        <v>12</v>
      </c>
      <c r="D252">
        <v>425200</v>
      </c>
      <c r="E252" s="3">
        <v>996148</v>
      </c>
      <c r="F252">
        <v>16268</v>
      </c>
      <c r="G252">
        <v>70</v>
      </c>
      <c r="H252">
        <v>53347</v>
      </c>
      <c r="I252">
        <v>8278</v>
      </c>
      <c r="J252">
        <v>63102</v>
      </c>
      <c r="K252">
        <v>2016</v>
      </c>
    </row>
    <row r="253" spans="1:11" x14ac:dyDescent="0.3">
      <c r="A253">
        <v>121</v>
      </c>
      <c r="B253" s="1" t="s">
        <v>147</v>
      </c>
      <c r="C253" s="1" t="s">
        <v>62</v>
      </c>
      <c r="D253">
        <v>436000</v>
      </c>
      <c r="E253" s="3">
        <v>983195</v>
      </c>
      <c r="F253">
        <v>52801</v>
      </c>
      <c r="G253">
        <v>70</v>
      </c>
      <c r="H253">
        <v>23069</v>
      </c>
      <c r="I253">
        <v>9507</v>
      </c>
      <c r="J253">
        <v>7157</v>
      </c>
      <c r="K253">
        <v>2016</v>
      </c>
    </row>
    <row r="254" spans="1:11" x14ac:dyDescent="0.3">
      <c r="A254">
        <v>105</v>
      </c>
      <c r="B254" s="1" t="s">
        <v>130</v>
      </c>
      <c r="C254" s="1" t="s">
        <v>24</v>
      </c>
      <c r="D254">
        <v>481300</v>
      </c>
      <c r="E254" s="3">
        <v>994451</v>
      </c>
      <c r="F254">
        <v>32839</v>
      </c>
      <c r="G254">
        <v>70</v>
      </c>
      <c r="H254">
        <v>37049</v>
      </c>
      <c r="I254">
        <v>47014</v>
      </c>
      <c r="J254">
        <v>11024</v>
      </c>
      <c r="K254">
        <v>2016</v>
      </c>
    </row>
    <row r="255" spans="1:11" x14ac:dyDescent="0.3">
      <c r="A255">
        <v>86</v>
      </c>
      <c r="B255" s="1" t="s">
        <v>107</v>
      </c>
      <c r="C255" s="1" t="s">
        <v>12</v>
      </c>
      <c r="D255">
        <v>517700</v>
      </c>
      <c r="E255" s="3">
        <v>978779</v>
      </c>
      <c r="F255">
        <v>68733</v>
      </c>
      <c r="G255">
        <v>70</v>
      </c>
      <c r="H255">
        <v>25832</v>
      </c>
      <c r="I255">
        <v>25297</v>
      </c>
      <c r="J255">
        <v>8589</v>
      </c>
      <c r="K255">
        <v>2016</v>
      </c>
    </row>
    <row r="256" spans="1:11" x14ac:dyDescent="0.3">
      <c r="A256">
        <v>60</v>
      </c>
      <c r="B256" s="1" t="s">
        <v>74</v>
      </c>
      <c r="C256" s="1" t="s">
        <v>12</v>
      </c>
      <c r="D256">
        <v>581300</v>
      </c>
      <c r="E256" s="3">
        <v>993420</v>
      </c>
      <c r="F256">
        <v>89930</v>
      </c>
      <c r="G256">
        <v>70</v>
      </c>
      <c r="H256">
        <v>31108</v>
      </c>
      <c r="I256">
        <v>2470</v>
      </c>
      <c r="J256">
        <v>3602</v>
      </c>
      <c r="K256">
        <v>2016</v>
      </c>
    </row>
    <row r="257" spans="1:11" x14ac:dyDescent="0.3">
      <c r="A257">
        <v>78</v>
      </c>
      <c r="B257" s="1" t="s">
        <v>95</v>
      </c>
      <c r="C257" s="1" t="s">
        <v>24</v>
      </c>
      <c r="D257">
        <v>538900</v>
      </c>
      <c r="E257" s="3">
        <v>995010</v>
      </c>
      <c r="F257">
        <v>74132</v>
      </c>
      <c r="G257">
        <v>70</v>
      </c>
      <c r="H257">
        <v>39260</v>
      </c>
      <c r="I257">
        <v>5742</v>
      </c>
      <c r="J257">
        <v>24441</v>
      </c>
      <c r="K257">
        <v>2016</v>
      </c>
    </row>
    <row r="258" spans="1:11" x14ac:dyDescent="0.3">
      <c r="A258">
        <v>95</v>
      </c>
      <c r="B258" s="1" t="s">
        <v>113</v>
      </c>
      <c r="C258" s="1" t="s">
        <v>12</v>
      </c>
      <c r="D258">
        <v>512100</v>
      </c>
      <c r="E258" s="3">
        <v>994196</v>
      </c>
      <c r="F258">
        <v>66119</v>
      </c>
      <c r="G258">
        <v>70</v>
      </c>
      <c r="H258">
        <v>45471</v>
      </c>
      <c r="I258">
        <v>28677</v>
      </c>
      <c r="J258">
        <v>13949</v>
      </c>
      <c r="K258">
        <v>2016</v>
      </c>
    </row>
    <row r="259" spans="1:11" x14ac:dyDescent="0.3">
      <c r="A259">
        <v>33</v>
      </c>
      <c r="B259" s="1" t="s">
        <v>50</v>
      </c>
      <c r="C259" s="1" t="s">
        <v>39</v>
      </c>
      <c r="D259">
        <v>647400</v>
      </c>
      <c r="E259" s="3">
        <v>994463</v>
      </c>
      <c r="F259">
        <v>88296</v>
      </c>
      <c r="G259">
        <v>70</v>
      </c>
      <c r="H259">
        <v>81437</v>
      </c>
      <c r="I259">
        <v>71606</v>
      </c>
      <c r="J259">
        <v>5608</v>
      </c>
      <c r="K259">
        <v>2016</v>
      </c>
    </row>
    <row r="260" spans="1:11" x14ac:dyDescent="0.3">
      <c r="A260">
        <v>48</v>
      </c>
      <c r="B260" s="1" t="s">
        <v>75</v>
      </c>
      <c r="C260" s="1" t="s">
        <v>26</v>
      </c>
      <c r="D260">
        <v>599200</v>
      </c>
      <c r="E260" s="3">
        <v>999201</v>
      </c>
      <c r="F260">
        <v>75656</v>
      </c>
      <c r="G260">
        <v>70</v>
      </c>
      <c r="H260">
        <v>76555</v>
      </c>
      <c r="I260">
        <v>36322</v>
      </c>
      <c r="J260">
        <v>32247</v>
      </c>
      <c r="K260">
        <v>2016</v>
      </c>
    </row>
    <row r="261" spans="1:11" x14ac:dyDescent="0.3">
      <c r="A261">
        <v>42</v>
      </c>
      <c r="B261" s="1" t="s">
        <v>67</v>
      </c>
      <c r="C261" s="1" t="s">
        <v>24</v>
      </c>
      <c r="D261">
        <v>621800</v>
      </c>
      <c r="E261" s="3">
        <v>998695</v>
      </c>
      <c r="F261">
        <v>79777</v>
      </c>
      <c r="G261">
        <v>71</v>
      </c>
      <c r="H261">
        <v>77858</v>
      </c>
      <c r="I261">
        <v>20918</v>
      </c>
      <c r="J261">
        <v>51013</v>
      </c>
      <c r="K261">
        <v>2016</v>
      </c>
    </row>
    <row r="262" spans="1:11" x14ac:dyDescent="0.3">
      <c r="A262">
        <v>96</v>
      </c>
      <c r="B262" s="1" t="s">
        <v>94</v>
      </c>
      <c r="C262" s="1" t="s">
        <v>39</v>
      </c>
      <c r="D262">
        <v>506100</v>
      </c>
      <c r="E262" s="3">
        <v>988867</v>
      </c>
      <c r="F262">
        <v>66863</v>
      </c>
      <c r="G262">
        <v>71</v>
      </c>
      <c r="H262">
        <v>91957</v>
      </c>
      <c r="I262">
        <v>30590</v>
      </c>
      <c r="J262">
        <v>22874</v>
      </c>
      <c r="K262">
        <v>2016</v>
      </c>
    </row>
    <row r="263" spans="1:11" x14ac:dyDescent="0.3">
      <c r="A263">
        <v>66</v>
      </c>
      <c r="B263" s="1" t="s">
        <v>89</v>
      </c>
      <c r="C263" s="1" t="s">
        <v>90</v>
      </c>
      <c r="D263">
        <v>564800</v>
      </c>
      <c r="E263" s="3">
        <v>991893</v>
      </c>
      <c r="F263">
        <v>63972</v>
      </c>
      <c r="G263">
        <v>71</v>
      </c>
      <c r="H263">
        <v>75836</v>
      </c>
      <c r="I263">
        <v>45078</v>
      </c>
      <c r="J263">
        <v>10299</v>
      </c>
      <c r="K263">
        <v>2016</v>
      </c>
    </row>
    <row r="264" spans="1:11" x14ac:dyDescent="0.3">
      <c r="A264">
        <v>71</v>
      </c>
      <c r="B264" s="1" t="s">
        <v>106</v>
      </c>
      <c r="C264" s="1" t="s">
        <v>12</v>
      </c>
      <c r="D264">
        <v>552800</v>
      </c>
      <c r="E264" s="3">
        <v>987727</v>
      </c>
      <c r="F264">
        <v>61527</v>
      </c>
      <c r="G264">
        <v>71</v>
      </c>
      <c r="H264">
        <v>60334</v>
      </c>
      <c r="I264">
        <v>15724</v>
      </c>
      <c r="J264">
        <v>1344</v>
      </c>
      <c r="K264">
        <v>2016</v>
      </c>
    </row>
    <row r="265" spans="1:11" x14ac:dyDescent="0.3">
      <c r="A265">
        <v>91</v>
      </c>
      <c r="B265" s="1" t="s">
        <v>124</v>
      </c>
      <c r="C265" s="1" t="s">
        <v>12</v>
      </c>
      <c r="D265">
        <v>514500</v>
      </c>
      <c r="E265" s="3">
        <v>995659</v>
      </c>
      <c r="F265">
        <v>78735</v>
      </c>
      <c r="G265">
        <v>71</v>
      </c>
      <c r="H265">
        <v>32491</v>
      </c>
      <c r="I265">
        <v>12077</v>
      </c>
      <c r="J265">
        <v>8852</v>
      </c>
      <c r="K265">
        <v>2016</v>
      </c>
    </row>
    <row r="266" spans="1:11" x14ac:dyDescent="0.3">
      <c r="A266">
        <v>129</v>
      </c>
      <c r="B266" s="1" t="s">
        <v>154</v>
      </c>
      <c r="C266" s="1" t="s">
        <v>47</v>
      </c>
      <c r="D266">
        <v>421700</v>
      </c>
      <c r="E266" s="3">
        <v>997792</v>
      </c>
      <c r="F266">
        <v>78209</v>
      </c>
      <c r="G266">
        <v>71</v>
      </c>
      <c r="H266">
        <v>34872</v>
      </c>
      <c r="I266">
        <v>15607</v>
      </c>
      <c r="J266">
        <v>1218</v>
      </c>
      <c r="K266">
        <v>2016</v>
      </c>
    </row>
    <row r="267" spans="1:11" x14ac:dyDescent="0.3">
      <c r="A267">
        <v>72</v>
      </c>
      <c r="B267" s="1" t="s">
        <v>92</v>
      </c>
      <c r="C267" s="1" t="s">
        <v>12</v>
      </c>
      <c r="D267">
        <v>551700</v>
      </c>
      <c r="E267" s="3">
        <v>999915</v>
      </c>
      <c r="F267">
        <v>88875</v>
      </c>
      <c r="G267">
        <v>72</v>
      </c>
      <c r="H267">
        <v>68221</v>
      </c>
      <c r="I267">
        <v>10275</v>
      </c>
      <c r="J267">
        <v>36656</v>
      </c>
      <c r="K267">
        <v>2016</v>
      </c>
    </row>
    <row r="268" spans="1:11" x14ac:dyDescent="0.3">
      <c r="A268">
        <v>51</v>
      </c>
      <c r="B268" s="1" t="s">
        <v>66</v>
      </c>
      <c r="C268" s="1" t="s">
        <v>26</v>
      </c>
      <c r="D268">
        <v>597600</v>
      </c>
      <c r="E268" s="3">
        <v>999859</v>
      </c>
      <c r="F268">
        <v>72659</v>
      </c>
      <c r="G268">
        <v>72</v>
      </c>
      <c r="H268">
        <v>66181</v>
      </c>
      <c r="I268">
        <v>12289</v>
      </c>
      <c r="J268">
        <v>35702</v>
      </c>
      <c r="K268">
        <v>2016</v>
      </c>
    </row>
    <row r="269" spans="1:11" x14ac:dyDescent="0.3">
      <c r="A269">
        <v>57</v>
      </c>
      <c r="B269" s="1" t="s">
        <v>78</v>
      </c>
      <c r="C269" s="1" t="s">
        <v>12</v>
      </c>
      <c r="D269">
        <v>583500</v>
      </c>
      <c r="E269" s="3">
        <v>997051</v>
      </c>
      <c r="F269">
        <v>88472</v>
      </c>
      <c r="G269">
        <v>72</v>
      </c>
      <c r="H269">
        <v>74267</v>
      </c>
      <c r="I269">
        <v>17620</v>
      </c>
      <c r="J269">
        <v>10886</v>
      </c>
      <c r="K269">
        <v>2016</v>
      </c>
    </row>
    <row r="270" spans="1:11" x14ac:dyDescent="0.3">
      <c r="A270">
        <v>26</v>
      </c>
      <c r="B270" s="1" t="s">
        <v>45</v>
      </c>
      <c r="C270" s="1" t="s">
        <v>26</v>
      </c>
      <c r="D270">
        <v>665000</v>
      </c>
      <c r="E270" s="3">
        <v>992469</v>
      </c>
      <c r="F270">
        <v>90101</v>
      </c>
      <c r="G270">
        <v>72</v>
      </c>
      <c r="H270">
        <v>69490</v>
      </c>
      <c r="I270">
        <v>13406</v>
      </c>
      <c r="J270">
        <v>14442</v>
      </c>
      <c r="K270">
        <v>2016</v>
      </c>
    </row>
    <row r="271" spans="1:11" x14ac:dyDescent="0.3">
      <c r="A271">
        <v>45</v>
      </c>
      <c r="B271" s="1" t="s">
        <v>63</v>
      </c>
      <c r="C271" s="1" t="s">
        <v>12</v>
      </c>
      <c r="D271">
        <v>607800</v>
      </c>
      <c r="E271" s="3">
        <v>981447</v>
      </c>
      <c r="F271">
        <v>91499</v>
      </c>
      <c r="G271">
        <v>72</v>
      </c>
      <c r="H271">
        <v>38441</v>
      </c>
      <c r="I271">
        <v>16881</v>
      </c>
      <c r="J271">
        <v>5834</v>
      </c>
      <c r="K271">
        <v>2016</v>
      </c>
    </row>
    <row r="272" spans="1:11" x14ac:dyDescent="0.3">
      <c r="A272">
        <v>74</v>
      </c>
      <c r="B272" s="1" t="s">
        <v>80</v>
      </c>
      <c r="C272" s="1" t="s">
        <v>47</v>
      </c>
      <c r="D272">
        <v>548800</v>
      </c>
      <c r="E272" s="3">
        <v>969673</v>
      </c>
      <c r="F272">
        <v>51391</v>
      </c>
      <c r="G272">
        <v>73</v>
      </c>
      <c r="H272">
        <v>39290</v>
      </c>
      <c r="I272">
        <v>22489</v>
      </c>
      <c r="J272">
        <v>7922</v>
      </c>
      <c r="K272">
        <v>2016</v>
      </c>
    </row>
    <row r="273" spans="1:11" x14ac:dyDescent="0.3">
      <c r="A273">
        <v>87</v>
      </c>
      <c r="B273" s="1" t="s">
        <v>116</v>
      </c>
      <c r="C273" s="1" t="s">
        <v>47</v>
      </c>
      <c r="D273">
        <v>516300</v>
      </c>
      <c r="E273" s="3">
        <v>977892</v>
      </c>
      <c r="F273">
        <v>54398</v>
      </c>
      <c r="G273">
        <v>73</v>
      </c>
      <c r="H273">
        <v>15631</v>
      </c>
      <c r="I273">
        <v>36463</v>
      </c>
      <c r="J273">
        <v>0</v>
      </c>
      <c r="K273">
        <v>2016</v>
      </c>
    </row>
    <row r="274" spans="1:11" x14ac:dyDescent="0.3">
      <c r="A274">
        <v>25</v>
      </c>
      <c r="B274" s="1" t="s">
        <v>40</v>
      </c>
      <c r="C274" s="1" t="s">
        <v>26</v>
      </c>
      <c r="D274">
        <v>670100</v>
      </c>
      <c r="E274" s="3">
        <v>996471</v>
      </c>
      <c r="F274">
        <v>83593</v>
      </c>
      <c r="G274">
        <v>73</v>
      </c>
      <c r="H274">
        <v>80409</v>
      </c>
      <c r="I274">
        <v>29498</v>
      </c>
      <c r="J274">
        <v>16672</v>
      </c>
      <c r="K274">
        <v>2016</v>
      </c>
    </row>
    <row r="275" spans="1:11" x14ac:dyDescent="0.3">
      <c r="A275">
        <v>21</v>
      </c>
      <c r="B275" s="1" t="s">
        <v>28</v>
      </c>
      <c r="C275" s="1" t="s">
        <v>26</v>
      </c>
      <c r="D275">
        <v>677800</v>
      </c>
      <c r="E275" s="3">
        <v>997271</v>
      </c>
      <c r="F275">
        <v>60393</v>
      </c>
      <c r="G275">
        <v>73</v>
      </c>
      <c r="H275">
        <v>61972</v>
      </c>
      <c r="I275">
        <v>14317</v>
      </c>
      <c r="J275">
        <v>36331</v>
      </c>
      <c r="K275">
        <v>2016</v>
      </c>
    </row>
    <row r="276" spans="1:11" x14ac:dyDescent="0.3">
      <c r="A276">
        <v>36</v>
      </c>
      <c r="B276" s="1" t="s">
        <v>43</v>
      </c>
      <c r="C276" s="1" t="s">
        <v>24</v>
      </c>
      <c r="D276">
        <v>637500</v>
      </c>
      <c r="E276" s="3">
        <v>1000000</v>
      </c>
      <c r="F276">
        <v>74340</v>
      </c>
      <c r="G276">
        <v>73</v>
      </c>
      <c r="H276">
        <v>93147</v>
      </c>
      <c r="I276">
        <v>39511</v>
      </c>
      <c r="J276">
        <v>95108</v>
      </c>
      <c r="K276">
        <v>2016</v>
      </c>
    </row>
    <row r="277" spans="1:11" x14ac:dyDescent="0.3">
      <c r="A277">
        <v>29</v>
      </c>
      <c r="B277" s="1" t="s">
        <v>48</v>
      </c>
      <c r="C277" s="1" t="s">
        <v>26</v>
      </c>
      <c r="D277">
        <v>654500</v>
      </c>
      <c r="E277" s="3">
        <v>998467</v>
      </c>
      <c r="F277">
        <v>87168</v>
      </c>
      <c r="G277">
        <v>73</v>
      </c>
      <c r="H277">
        <v>89382</v>
      </c>
      <c r="I277">
        <v>22027</v>
      </c>
      <c r="J277">
        <v>42346</v>
      </c>
      <c r="K277">
        <v>2016</v>
      </c>
    </row>
    <row r="278" spans="1:11" x14ac:dyDescent="0.3">
      <c r="A278">
        <v>28</v>
      </c>
      <c r="B278" s="1" t="s">
        <v>34</v>
      </c>
      <c r="C278" s="1" t="s">
        <v>24</v>
      </c>
      <c r="D278">
        <v>657300</v>
      </c>
      <c r="E278" s="3">
        <v>996966</v>
      </c>
      <c r="F278">
        <v>73622</v>
      </c>
      <c r="G278">
        <v>74</v>
      </c>
      <c r="H278">
        <v>92385</v>
      </c>
      <c r="I278">
        <v>32439</v>
      </c>
      <c r="J278">
        <v>70389</v>
      </c>
      <c r="K278">
        <v>2016</v>
      </c>
    </row>
    <row r="279" spans="1:11" x14ac:dyDescent="0.3">
      <c r="A279">
        <v>109</v>
      </c>
      <c r="B279" s="1" t="s">
        <v>115</v>
      </c>
      <c r="C279" s="1" t="s">
        <v>47</v>
      </c>
      <c r="D279">
        <v>465500</v>
      </c>
      <c r="E279" s="3">
        <v>977705</v>
      </c>
      <c r="F279">
        <v>42394</v>
      </c>
      <c r="G279">
        <v>74</v>
      </c>
      <c r="H279">
        <v>52370</v>
      </c>
      <c r="I279">
        <v>20543</v>
      </c>
      <c r="J279">
        <v>10493</v>
      </c>
      <c r="K279">
        <v>2016</v>
      </c>
    </row>
    <row r="280" spans="1:11" x14ac:dyDescent="0.3">
      <c r="A280">
        <v>83</v>
      </c>
      <c r="B280" s="1" t="s">
        <v>104</v>
      </c>
      <c r="C280" s="1" t="s">
        <v>55</v>
      </c>
      <c r="D280">
        <v>524500</v>
      </c>
      <c r="E280" s="3">
        <v>999912</v>
      </c>
      <c r="F280">
        <v>67087</v>
      </c>
      <c r="G280">
        <v>74</v>
      </c>
      <c r="H280">
        <v>72331</v>
      </c>
      <c r="I280">
        <v>6049</v>
      </c>
      <c r="J280">
        <v>5434</v>
      </c>
      <c r="K280">
        <v>2016</v>
      </c>
    </row>
    <row r="281" spans="1:11" x14ac:dyDescent="0.3">
      <c r="A281">
        <v>14</v>
      </c>
      <c r="B281" s="1" t="s">
        <v>25</v>
      </c>
      <c r="C281" s="1" t="s">
        <v>26</v>
      </c>
      <c r="D281">
        <v>708700</v>
      </c>
      <c r="E281" s="3">
        <v>993240</v>
      </c>
      <c r="F281">
        <v>86331</v>
      </c>
      <c r="G281">
        <v>75</v>
      </c>
      <c r="H281">
        <v>90759</v>
      </c>
      <c r="I281">
        <v>27513</v>
      </c>
      <c r="J281">
        <v>20876</v>
      </c>
      <c r="K281">
        <v>2016</v>
      </c>
    </row>
    <row r="282" spans="1:11" x14ac:dyDescent="0.3">
      <c r="A282">
        <v>93</v>
      </c>
      <c r="B282" s="1" t="s">
        <v>123</v>
      </c>
      <c r="C282" s="1" t="s">
        <v>24</v>
      </c>
      <c r="D282">
        <v>512900</v>
      </c>
      <c r="E282" s="3">
        <v>998855</v>
      </c>
      <c r="F282">
        <v>54243</v>
      </c>
      <c r="G282">
        <v>75</v>
      </c>
      <c r="H282">
        <v>43104</v>
      </c>
      <c r="I282">
        <v>28904</v>
      </c>
      <c r="J282">
        <v>6058</v>
      </c>
      <c r="K282">
        <v>2016</v>
      </c>
    </row>
    <row r="283" spans="1:11" x14ac:dyDescent="0.3">
      <c r="A283">
        <v>27</v>
      </c>
      <c r="B283" s="1" t="s">
        <v>46</v>
      </c>
      <c r="C283" s="1" t="s">
        <v>12</v>
      </c>
      <c r="D283">
        <v>659600</v>
      </c>
      <c r="E283" s="3">
        <v>997896</v>
      </c>
      <c r="F283">
        <v>85183</v>
      </c>
      <c r="G283">
        <v>75</v>
      </c>
      <c r="H283">
        <v>68067</v>
      </c>
      <c r="I283">
        <v>12112</v>
      </c>
      <c r="J283">
        <v>7889</v>
      </c>
      <c r="K283">
        <v>2016</v>
      </c>
    </row>
    <row r="284" spans="1:11" x14ac:dyDescent="0.3">
      <c r="A284">
        <v>15</v>
      </c>
      <c r="B284" s="1" t="s">
        <v>183</v>
      </c>
      <c r="C284" s="1" t="s">
        <v>26</v>
      </c>
      <c r="D284">
        <v>703900</v>
      </c>
      <c r="E284" s="3">
        <v>999959</v>
      </c>
      <c r="F284">
        <v>91369</v>
      </c>
      <c r="G284">
        <v>75</v>
      </c>
      <c r="H284">
        <v>76951</v>
      </c>
      <c r="I284">
        <v>27085</v>
      </c>
      <c r="J284">
        <v>24297</v>
      </c>
      <c r="K284">
        <v>2016</v>
      </c>
    </row>
    <row r="285" spans="1:11" x14ac:dyDescent="0.3">
      <c r="A285">
        <v>13</v>
      </c>
      <c r="B285" s="1" t="s">
        <v>29</v>
      </c>
      <c r="C285" s="1" t="s">
        <v>17</v>
      </c>
      <c r="D285">
        <v>710400</v>
      </c>
      <c r="E285" s="3">
        <v>997785</v>
      </c>
      <c r="F285">
        <v>88553</v>
      </c>
      <c r="G285">
        <v>75</v>
      </c>
      <c r="H285">
        <v>79153</v>
      </c>
      <c r="I285">
        <v>50111</v>
      </c>
      <c r="J285">
        <v>29430</v>
      </c>
      <c r="K285">
        <v>2016</v>
      </c>
    </row>
    <row r="286" spans="1:11" x14ac:dyDescent="0.3">
      <c r="A286">
        <v>63</v>
      </c>
      <c r="B286" s="1" t="s">
        <v>73</v>
      </c>
      <c r="C286" s="1" t="s">
        <v>12</v>
      </c>
      <c r="D286">
        <v>576800</v>
      </c>
      <c r="E286" s="3">
        <v>992202</v>
      </c>
      <c r="F286">
        <v>89256</v>
      </c>
      <c r="G286">
        <v>76</v>
      </c>
      <c r="H286">
        <v>87371</v>
      </c>
      <c r="I286">
        <v>31399</v>
      </c>
      <c r="J286">
        <v>7195</v>
      </c>
      <c r="K286">
        <v>2016</v>
      </c>
    </row>
    <row r="287" spans="1:11" x14ac:dyDescent="0.3">
      <c r="A287">
        <v>94</v>
      </c>
      <c r="B287" s="1" t="s">
        <v>108</v>
      </c>
      <c r="C287" s="1" t="s">
        <v>12</v>
      </c>
      <c r="D287">
        <v>512300</v>
      </c>
      <c r="E287" s="3">
        <v>996600</v>
      </c>
      <c r="F287">
        <v>79752</v>
      </c>
      <c r="G287">
        <v>76</v>
      </c>
      <c r="H287">
        <v>73505</v>
      </c>
      <c r="I287">
        <v>14262</v>
      </c>
      <c r="J287">
        <v>3010</v>
      </c>
      <c r="K287">
        <v>2016</v>
      </c>
    </row>
    <row r="288" spans="1:11" x14ac:dyDescent="0.3">
      <c r="A288">
        <v>1</v>
      </c>
      <c r="B288" s="1" t="s">
        <v>14</v>
      </c>
      <c r="C288" s="1" t="s">
        <v>12</v>
      </c>
      <c r="D288">
        <v>752600</v>
      </c>
      <c r="E288" s="3">
        <v>997766</v>
      </c>
      <c r="F288">
        <v>98351</v>
      </c>
      <c r="G288">
        <v>76</v>
      </c>
      <c r="H288">
        <v>95223</v>
      </c>
      <c r="I288">
        <v>44126</v>
      </c>
      <c r="J288">
        <v>87990</v>
      </c>
      <c r="K288">
        <v>2016</v>
      </c>
    </row>
    <row r="289" spans="1:11" x14ac:dyDescent="0.3">
      <c r="A289">
        <v>35</v>
      </c>
      <c r="B289" s="1" t="s">
        <v>54</v>
      </c>
      <c r="C289" s="1" t="s">
        <v>55</v>
      </c>
      <c r="D289">
        <v>637900</v>
      </c>
      <c r="E289" s="3">
        <v>995173</v>
      </c>
      <c r="F289">
        <v>78279</v>
      </c>
      <c r="G289">
        <v>76</v>
      </c>
      <c r="H289">
        <v>53210</v>
      </c>
      <c r="I289">
        <v>31103</v>
      </c>
      <c r="J289">
        <v>13124</v>
      </c>
      <c r="K289">
        <v>2016</v>
      </c>
    </row>
    <row r="290" spans="1:11" x14ac:dyDescent="0.3">
      <c r="A290">
        <v>4</v>
      </c>
      <c r="B290" s="1" t="s">
        <v>15</v>
      </c>
      <c r="C290" s="1" t="s">
        <v>12</v>
      </c>
      <c r="D290">
        <v>749800</v>
      </c>
      <c r="E290" s="3">
        <v>970015</v>
      </c>
      <c r="F290">
        <v>95237</v>
      </c>
      <c r="G290">
        <v>76</v>
      </c>
      <c r="H290">
        <v>97963</v>
      </c>
      <c r="I290">
        <v>46229</v>
      </c>
      <c r="J290">
        <v>70814</v>
      </c>
      <c r="K290">
        <v>2016</v>
      </c>
    </row>
    <row r="291" spans="1:11" x14ac:dyDescent="0.3">
      <c r="A291">
        <v>99</v>
      </c>
      <c r="B291" s="1" t="s">
        <v>122</v>
      </c>
      <c r="C291" s="1" t="s">
        <v>12</v>
      </c>
      <c r="D291">
        <v>503300</v>
      </c>
      <c r="E291" s="3">
        <v>997503</v>
      </c>
      <c r="F291">
        <v>63784</v>
      </c>
      <c r="G291">
        <v>76</v>
      </c>
      <c r="H291">
        <v>9568</v>
      </c>
      <c r="I291">
        <v>0</v>
      </c>
      <c r="J291">
        <v>8169</v>
      </c>
      <c r="K291">
        <v>2016</v>
      </c>
    </row>
    <row r="292" spans="1:11" x14ac:dyDescent="0.3">
      <c r="A292">
        <v>30</v>
      </c>
      <c r="B292" s="1" t="s">
        <v>53</v>
      </c>
      <c r="C292" s="1" t="s">
        <v>12</v>
      </c>
      <c r="D292">
        <v>648800</v>
      </c>
      <c r="E292" s="3">
        <v>998752</v>
      </c>
      <c r="F292">
        <v>92861</v>
      </c>
      <c r="G292">
        <v>76</v>
      </c>
      <c r="H292">
        <v>90379</v>
      </c>
      <c r="I292">
        <v>68605</v>
      </c>
      <c r="J292">
        <v>34747</v>
      </c>
      <c r="K292">
        <v>2016</v>
      </c>
    </row>
    <row r="293" spans="1:11" x14ac:dyDescent="0.3">
      <c r="A293">
        <v>12</v>
      </c>
      <c r="B293" s="1" t="s">
        <v>27</v>
      </c>
      <c r="C293" s="1" t="s">
        <v>12</v>
      </c>
      <c r="D293">
        <v>711900</v>
      </c>
      <c r="E293" s="3">
        <v>998799</v>
      </c>
      <c r="F293">
        <v>91597</v>
      </c>
      <c r="G293">
        <v>77</v>
      </c>
      <c r="H293">
        <v>89329</v>
      </c>
      <c r="I293">
        <v>40093</v>
      </c>
      <c r="J293">
        <v>42257</v>
      </c>
      <c r="K293">
        <v>2016</v>
      </c>
    </row>
    <row r="294" spans="1:11" x14ac:dyDescent="0.3">
      <c r="A294">
        <v>23</v>
      </c>
      <c r="B294" s="1" t="s">
        <v>35</v>
      </c>
      <c r="C294" s="1" t="s">
        <v>12</v>
      </c>
      <c r="D294">
        <v>672500</v>
      </c>
      <c r="E294" s="3">
        <v>997265</v>
      </c>
      <c r="F294">
        <v>91841</v>
      </c>
      <c r="G294">
        <v>77</v>
      </c>
      <c r="H294">
        <v>82231</v>
      </c>
      <c r="I294">
        <v>61188</v>
      </c>
      <c r="J294">
        <v>54233</v>
      </c>
      <c r="K294">
        <v>2016</v>
      </c>
    </row>
    <row r="295" spans="1:11" x14ac:dyDescent="0.3">
      <c r="A295">
        <v>5</v>
      </c>
      <c r="B295" s="1" t="s">
        <v>18</v>
      </c>
      <c r="C295" s="1" t="s">
        <v>12</v>
      </c>
      <c r="D295">
        <v>741300</v>
      </c>
      <c r="E295" s="3">
        <v>983367</v>
      </c>
      <c r="F295">
        <v>95891</v>
      </c>
      <c r="G295">
        <v>77</v>
      </c>
      <c r="H295">
        <v>93846</v>
      </c>
      <c r="I295">
        <v>31099</v>
      </c>
      <c r="J295">
        <v>81162</v>
      </c>
      <c r="K295">
        <v>2016</v>
      </c>
    </row>
    <row r="296" spans="1:11" x14ac:dyDescent="0.3">
      <c r="A296">
        <v>7</v>
      </c>
      <c r="B296" s="1" t="s">
        <v>19</v>
      </c>
      <c r="C296" s="1" t="s">
        <v>12</v>
      </c>
      <c r="D296">
        <v>733900</v>
      </c>
      <c r="E296" s="3">
        <v>984579</v>
      </c>
      <c r="F296">
        <v>86974</v>
      </c>
      <c r="G296">
        <v>77</v>
      </c>
      <c r="H296">
        <v>90736</v>
      </c>
      <c r="I296">
        <v>57844</v>
      </c>
      <c r="J296">
        <v>59237</v>
      </c>
      <c r="K296">
        <v>2016</v>
      </c>
    </row>
    <row r="297" spans="1:11" x14ac:dyDescent="0.3">
      <c r="A297">
        <v>19</v>
      </c>
      <c r="B297" s="1" t="s">
        <v>32</v>
      </c>
      <c r="C297" s="1" t="s">
        <v>12</v>
      </c>
      <c r="D297">
        <v>690700</v>
      </c>
      <c r="E297" s="3">
        <v>994988</v>
      </c>
      <c r="F297">
        <v>98167</v>
      </c>
      <c r="G297">
        <v>77</v>
      </c>
      <c r="H297">
        <v>88759</v>
      </c>
      <c r="I297">
        <v>54852</v>
      </c>
      <c r="J297">
        <v>58894</v>
      </c>
      <c r="K297">
        <v>2016</v>
      </c>
    </row>
    <row r="298" spans="1:11" x14ac:dyDescent="0.3">
      <c r="A298">
        <v>16</v>
      </c>
      <c r="B298" s="1" t="s">
        <v>41</v>
      </c>
      <c r="C298" s="1" t="s">
        <v>12</v>
      </c>
      <c r="D298">
        <v>699400</v>
      </c>
      <c r="E298" s="3">
        <v>997881</v>
      </c>
      <c r="F298">
        <v>92772</v>
      </c>
      <c r="G298">
        <v>77</v>
      </c>
      <c r="H298">
        <v>87868</v>
      </c>
      <c r="I298">
        <v>37150</v>
      </c>
      <c r="J298">
        <v>56513</v>
      </c>
      <c r="K298">
        <v>2016</v>
      </c>
    </row>
    <row r="299" spans="1:11" x14ac:dyDescent="0.3">
      <c r="A299">
        <v>24</v>
      </c>
      <c r="B299" s="1" t="s">
        <v>42</v>
      </c>
      <c r="C299" s="1" t="s">
        <v>26</v>
      </c>
      <c r="D299">
        <v>670500</v>
      </c>
      <c r="E299" s="3">
        <v>998816</v>
      </c>
      <c r="F299">
        <v>76557</v>
      </c>
      <c r="G299">
        <v>77</v>
      </c>
      <c r="H299">
        <v>62104</v>
      </c>
      <c r="I299">
        <v>38544</v>
      </c>
      <c r="J299">
        <v>22665</v>
      </c>
      <c r="K299">
        <v>2016</v>
      </c>
    </row>
    <row r="300" spans="1:11" x14ac:dyDescent="0.3">
      <c r="A300">
        <v>18</v>
      </c>
      <c r="B300" s="1" t="s">
        <v>33</v>
      </c>
      <c r="C300" s="1" t="s">
        <v>12</v>
      </c>
      <c r="D300">
        <v>692900</v>
      </c>
      <c r="E300" s="3">
        <v>998917</v>
      </c>
      <c r="F300">
        <v>88948</v>
      </c>
      <c r="G300">
        <v>77</v>
      </c>
      <c r="H300">
        <v>84396</v>
      </c>
      <c r="I300">
        <v>29571</v>
      </c>
      <c r="J300">
        <v>51954</v>
      </c>
      <c r="K300">
        <v>2016</v>
      </c>
    </row>
    <row r="301" spans="1:11" x14ac:dyDescent="0.3">
      <c r="A301">
        <v>6</v>
      </c>
      <c r="B301" s="1" t="s">
        <v>16</v>
      </c>
      <c r="C301" s="1" t="s">
        <v>17</v>
      </c>
      <c r="D301">
        <v>740400</v>
      </c>
      <c r="E301" s="3">
        <v>999918</v>
      </c>
      <c r="F301">
        <v>92634</v>
      </c>
      <c r="G301">
        <v>77</v>
      </c>
      <c r="H301">
        <v>94284</v>
      </c>
      <c r="I301">
        <v>54695</v>
      </c>
      <c r="J301">
        <v>62012</v>
      </c>
      <c r="K301">
        <v>2016</v>
      </c>
    </row>
    <row r="302" spans="1:11" x14ac:dyDescent="0.3">
      <c r="A302">
        <v>8</v>
      </c>
      <c r="B302" s="1" t="s">
        <v>21</v>
      </c>
      <c r="C302" s="1" t="s">
        <v>17</v>
      </c>
      <c r="D302">
        <v>733400</v>
      </c>
      <c r="E302" s="3">
        <v>982821</v>
      </c>
      <c r="F302">
        <v>99115</v>
      </c>
      <c r="G302">
        <v>78</v>
      </c>
      <c r="H302">
        <v>95561</v>
      </c>
      <c r="I302">
        <v>60266</v>
      </c>
      <c r="J302">
        <v>82945</v>
      </c>
      <c r="K302">
        <v>2016</v>
      </c>
    </row>
    <row r="303" spans="1:11" x14ac:dyDescent="0.3">
      <c r="A303">
        <v>10</v>
      </c>
      <c r="B303" s="1" t="s">
        <v>20</v>
      </c>
      <c r="C303" s="1" t="s">
        <v>12</v>
      </c>
      <c r="D303">
        <v>729100</v>
      </c>
      <c r="E303" s="3">
        <v>989265</v>
      </c>
      <c r="F303">
        <v>91919</v>
      </c>
      <c r="G303">
        <v>78</v>
      </c>
      <c r="H303">
        <v>95678</v>
      </c>
      <c r="I303">
        <v>46667</v>
      </c>
      <c r="J303">
        <v>80891</v>
      </c>
      <c r="K303">
        <v>2016</v>
      </c>
    </row>
    <row r="304" spans="1:11" x14ac:dyDescent="0.3">
      <c r="A304">
        <v>32</v>
      </c>
      <c r="B304" s="1" t="s">
        <v>44</v>
      </c>
      <c r="C304" s="1" t="s">
        <v>12</v>
      </c>
      <c r="D304">
        <v>647800</v>
      </c>
      <c r="E304" s="3">
        <v>997900</v>
      </c>
      <c r="F304">
        <v>84942</v>
      </c>
      <c r="G304">
        <v>78</v>
      </c>
      <c r="H304">
        <v>76521</v>
      </c>
      <c r="I304">
        <v>14835</v>
      </c>
      <c r="J304">
        <v>35249</v>
      </c>
      <c r="K304">
        <v>2016</v>
      </c>
    </row>
    <row r="305" spans="1:11" x14ac:dyDescent="0.3">
      <c r="A305">
        <v>62</v>
      </c>
      <c r="B305" s="1" t="s">
        <v>84</v>
      </c>
      <c r="C305" s="1" t="s">
        <v>12</v>
      </c>
      <c r="D305">
        <v>577100</v>
      </c>
      <c r="E305" s="3">
        <v>993374</v>
      </c>
      <c r="F305">
        <v>69153</v>
      </c>
      <c r="G305">
        <v>78</v>
      </c>
      <c r="H305">
        <v>71647</v>
      </c>
      <c r="I305">
        <v>32111</v>
      </c>
      <c r="J305">
        <v>32815</v>
      </c>
      <c r="K305">
        <v>2016</v>
      </c>
    </row>
    <row r="306" spans="1:11" x14ac:dyDescent="0.3">
      <c r="A306">
        <v>20</v>
      </c>
      <c r="B306" s="1" t="s">
        <v>31</v>
      </c>
      <c r="C306" s="1" t="s">
        <v>12</v>
      </c>
      <c r="D306">
        <v>687100</v>
      </c>
      <c r="E306" s="3">
        <v>915144</v>
      </c>
      <c r="F306">
        <v>87892</v>
      </c>
      <c r="G306">
        <v>78</v>
      </c>
      <c r="H306">
        <v>90176</v>
      </c>
      <c r="I306">
        <v>33635</v>
      </c>
      <c r="J306">
        <v>69930</v>
      </c>
      <c r="K306">
        <v>2016</v>
      </c>
    </row>
    <row r="307" spans="1:11" x14ac:dyDescent="0.3">
      <c r="A307">
        <v>69</v>
      </c>
      <c r="B307" s="1" t="s">
        <v>85</v>
      </c>
      <c r="C307" s="1" t="s">
        <v>12</v>
      </c>
      <c r="D307">
        <v>554600</v>
      </c>
      <c r="E307" s="3">
        <v>993412</v>
      </c>
      <c r="F307">
        <v>59748</v>
      </c>
      <c r="G307">
        <v>78</v>
      </c>
      <c r="H307">
        <v>48492</v>
      </c>
      <c r="I307">
        <v>34044</v>
      </c>
      <c r="J307">
        <v>10348</v>
      </c>
      <c r="K307">
        <v>2016</v>
      </c>
    </row>
    <row r="308" spans="1:11" x14ac:dyDescent="0.3">
      <c r="A308">
        <v>11</v>
      </c>
      <c r="B308" s="1" t="s">
        <v>23</v>
      </c>
      <c r="C308" s="1" t="s">
        <v>24</v>
      </c>
      <c r="D308">
        <v>726700</v>
      </c>
      <c r="E308" s="3">
        <v>995569</v>
      </c>
      <c r="F308">
        <v>84121</v>
      </c>
      <c r="G308">
        <v>78</v>
      </c>
      <c r="H308">
        <v>59874</v>
      </c>
      <c r="I308">
        <v>39389</v>
      </c>
      <c r="J308">
        <v>17276</v>
      </c>
      <c r="K308">
        <v>2016</v>
      </c>
    </row>
    <row r="309" spans="1:11" x14ac:dyDescent="0.3">
      <c r="A309">
        <v>50</v>
      </c>
      <c r="B309" s="1" t="s">
        <v>68</v>
      </c>
      <c r="C309" s="1" t="s">
        <v>12</v>
      </c>
      <c r="D309">
        <v>597700</v>
      </c>
      <c r="E309" s="3">
        <v>995971</v>
      </c>
      <c r="F309">
        <v>88034</v>
      </c>
      <c r="G309">
        <v>78</v>
      </c>
      <c r="H309">
        <v>30940</v>
      </c>
      <c r="I309">
        <v>20353</v>
      </c>
      <c r="J309">
        <v>5059</v>
      </c>
      <c r="K309">
        <v>2016</v>
      </c>
    </row>
    <row r="310" spans="1:11" x14ac:dyDescent="0.3">
      <c r="A310">
        <v>9</v>
      </c>
      <c r="B310" s="1" t="s">
        <v>22</v>
      </c>
      <c r="C310" s="1" t="s">
        <v>17</v>
      </c>
      <c r="D310">
        <v>731300</v>
      </c>
      <c r="E310" s="3">
        <v>997098</v>
      </c>
      <c r="F310">
        <v>93365</v>
      </c>
      <c r="G310">
        <v>78</v>
      </c>
      <c r="H310">
        <v>93407</v>
      </c>
      <c r="I310">
        <v>57834</v>
      </c>
      <c r="J310">
        <v>63995</v>
      </c>
      <c r="K310">
        <v>2016</v>
      </c>
    </row>
    <row r="311" spans="1:11" x14ac:dyDescent="0.3">
      <c r="A311">
        <v>2</v>
      </c>
      <c r="B311" s="1" t="s">
        <v>11</v>
      </c>
      <c r="C311" s="1" t="s">
        <v>12</v>
      </c>
      <c r="D311">
        <v>750900</v>
      </c>
      <c r="E311" s="3">
        <v>964149</v>
      </c>
      <c r="F311">
        <v>96787</v>
      </c>
      <c r="G311">
        <v>79</v>
      </c>
      <c r="H311">
        <v>96235</v>
      </c>
      <c r="I311">
        <v>34259</v>
      </c>
      <c r="J311">
        <v>81557</v>
      </c>
      <c r="K311">
        <v>2016</v>
      </c>
    </row>
    <row r="312" spans="1:11" x14ac:dyDescent="0.3">
      <c r="A312">
        <v>3</v>
      </c>
      <c r="B312" s="1" t="s">
        <v>13</v>
      </c>
      <c r="C312" s="1" t="s">
        <v>12</v>
      </c>
      <c r="D312">
        <v>750100</v>
      </c>
      <c r="E312" s="3">
        <v>988557</v>
      </c>
      <c r="F312">
        <v>100000</v>
      </c>
      <c r="G312">
        <v>79</v>
      </c>
      <c r="H312">
        <v>93058</v>
      </c>
      <c r="I312">
        <v>58165</v>
      </c>
      <c r="J312">
        <v>29641</v>
      </c>
      <c r="K312">
        <v>2016</v>
      </c>
    </row>
    <row r="313" spans="1:11" x14ac:dyDescent="0.3">
      <c r="A313">
        <v>37</v>
      </c>
      <c r="B313" s="1" t="s">
        <v>52</v>
      </c>
      <c r="C313" s="1" t="s">
        <v>12</v>
      </c>
      <c r="D313">
        <v>636100</v>
      </c>
      <c r="E313" s="3">
        <v>988808</v>
      </c>
      <c r="F313">
        <v>95452</v>
      </c>
      <c r="G313">
        <v>79</v>
      </c>
      <c r="H313">
        <v>61702</v>
      </c>
      <c r="I313">
        <v>21550</v>
      </c>
      <c r="J313">
        <v>12148</v>
      </c>
      <c r="K313">
        <v>2016</v>
      </c>
    </row>
    <row r="314" spans="1:11" x14ac:dyDescent="0.3">
      <c r="A314">
        <v>58</v>
      </c>
      <c r="B314" s="1" t="s">
        <v>65</v>
      </c>
      <c r="C314" s="1" t="s">
        <v>55</v>
      </c>
      <c r="D314">
        <v>583500</v>
      </c>
      <c r="E314" s="3">
        <v>998936</v>
      </c>
      <c r="F314">
        <v>61012</v>
      </c>
      <c r="G314">
        <v>80</v>
      </c>
      <c r="H314">
        <v>41362</v>
      </c>
      <c r="I314">
        <v>22964</v>
      </c>
      <c r="J314">
        <v>15272</v>
      </c>
      <c r="K314">
        <v>2016</v>
      </c>
    </row>
    <row r="315" spans="1:11" x14ac:dyDescent="0.3">
      <c r="A315">
        <v>53</v>
      </c>
      <c r="B315" s="1" t="s">
        <v>64</v>
      </c>
      <c r="C315" s="1" t="s">
        <v>55</v>
      </c>
      <c r="D315">
        <v>592100</v>
      </c>
      <c r="E315" s="3">
        <v>987032</v>
      </c>
      <c r="F315">
        <v>89629</v>
      </c>
      <c r="G315">
        <v>81</v>
      </c>
      <c r="H315">
        <v>76848</v>
      </c>
      <c r="I315">
        <v>12473</v>
      </c>
      <c r="J315">
        <v>37579</v>
      </c>
      <c r="K315">
        <v>2016</v>
      </c>
    </row>
    <row r="316" spans="1:11" x14ac:dyDescent="0.3">
      <c r="A316">
        <v>22</v>
      </c>
      <c r="B316" s="1" t="s">
        <v>38</v>
      </c>
      <c r="C316" s="1" t="s">
        <v>55</v>
      </c>
      <c r="D316">
        <v>673900</v>
      </c>
      <c r="E316" s="3">
        <v>962602</v>
      </c>
      <c r="F316">
        <v>73321</v>
      </c>
      <c r="G316">
        <v>82</v>
      </c>
      <c r="H316">
        <v>80150</v>
      </c>
      <c r="I316">
        <v>39900</v>
      </c>
      <c r="J316">
        <v>93005</v>
      </c>
      <c r="K316">
        <v>2016</v>
      </c>
    </row>
    <row r="317" spans="1:11" x14ac:dyDescent="0.3">
      <c r="A317">
        <v>75</v>
      </c>
      <c r="B317" s="1" t="s">
        <v>91</v>
      </c>
      <c r="C317" s="1" t="s">
        <v>55</v>
      </c>
      <c r="D317">
        <v>545800</v>
      </c>
      <c r="E317" s="3">
        <v>986699</v>
      </c>
      <c r="F317">
        <v>73543</v>
      </c>
      <c r="G317">
        <v>82</v>
      </c>
      <c r="H317">
        <v>79014</v>
      </c>
      <c r="I317">
        <v>48916</v>
      </c>
      <c r="J317">
        <v>62641</v>
      </c>
      <c r="K317">
        <v>2016</v>
      </c>
    </row>
    <row r="318" spans="1:11" x14ac:dyDescent="0.3">
      <c r="A318">
        <v>3</v>
      </c>
      <c r="B318" s="1" t="s">
        <v>13</v>
      </c>
      <c r="C318" s="1" t="s">
        <v>12</v>
      </c>
      <c r="D318">
        <v>750400</v>
      </c>
      <c r="E318" s="3">
        <v>791458</v>
      </c>
      <c r="F318">
        <v>100000</v>
      </c>
      <c r="G318">
        <v>71</v>
      </c>
      <c r="H318">
        <v>95277</v>
      </c>
      <c r="I318">
        <v>56742</v>
      </c>
      <c r="J318">
        <v>33066</v>
      </c>
      <c r="K318">
        <v>2017</v>
      </c>
    </row>
    <row r="319" spans="1:11" x14ac:dyDescent="0.3">
      <c r="A319">
        <v>15</v>
      </c>
      <c r="B319" s="1" t="s">
        <v>32</v>
      </c>
      <c r="C319" s="1" t="s">
        <v>12</v>
      </c>
      <c r="D319">
        <v>697700</v>
      </c>
      <c r="E319" s="3">
        <v>820897</v>
      </c>
      <c r="F319">
        <v>96750</v>
      </c>
      <c r="G319">
        <v>71</v>
      </c>
      <c r="H319">
        <v>87066</v>
      </c>
      <c r="I319">
        <v>51053</v>
      </c>
      <c r="J319">
        <v>64265</v>
      </c>
      <c r="K319">
        <v>2017</v>
      </c>
    </row>
    <row r="320" spans="1:11" x14ac:dyDescent="0.3">
      <c r="A320">
        <v>2</v>
      </c>
      <c r="B320" s="1" t="s">
        <v>14</v>
      </c>
      <c r="C320" s="1" t="s">
        <v>12</v>
      </c>
      <c r="D320">
        <v>752200</v>
      </c>
      <c r="E320" s="3">
        <v>792394</v>
      </c>
      <c r="F320">
        <v>96309</v>
      </c>
      <c r="G320">
        <v>70</v>
      </c>
      <c r="H320">
        <v>95102</v>
      </c>
      <c r="I320">
        <v>42392</v>
      </c>
      <c r="J320">
        <v>86316</v>
      </c>
      <c r="K320">
        <v>2017</v>
      </c>
    </row>
    <row r="321" spans="1:11" x14ac:dyDescent="0.3">
      <c r="A321">
        <v>47</v>
      </c>
      <c r="B321" s="1" t="s">
        <v>61</v>
      </c>
      <c r="C321" s="1" t="s">
        <v>62</v>
      </c>
      <c r="D321">
        <v>597100</v>
      </c>
      <c r="E321" s="3">
        <v>420385</v>
      </c>
      <c r="F321">
        <v>96175</v>
      </c>
      <c r="G321">
        <v>62</v>
      </c>
      <c r="H321">
        <v>100000</v>
      </c>
      <c r="I321">
        <v>49636</v>
      </c>
      <c r="J321">
        <v>53096</v>
      </c>
      <c r="K321">
        <v>2017</v>
      </c>
    </row>
    <row r="322" spans="1:11" x14ac:dyDescent="0.3">
      <c r="A322">
        <v>8</v>
      </c>
      <c r="B322" s="1" t="s">
        <v>21</v>
      </c>
      <c r="C322" s="1" t="s">
        <v>17</v>
      </c>
      <c r="D322">
        <v>731400</v>
      </c>
      <c r="E322" s="3">
        <v>751407</v>
      </c>
      <c r="F322">
        <v>96127</v>
      </c>
      <c r="G322">
        <v>71</v>
      </c>
      <c r="H322">
        <v>93287</v>
      </c>
      <c r="I322">
        <v>59661</v>
      </c>
      <c r="J322">
        <v>82449</v>
      </c>
      <c r="K322">
        <v>2017</v>
      </c>
    </row>
    <row r="323" spans="1:11" x14ac:dyDescent="0.3">
      <c r="A323">
        <v>5</v>
      </c>
      <c r="B323" s="1" t="s">
        <v>18</v>
      </c>
      <c r="C323" s="1" t="s">
        <v>12</v>
      </c>
      <c r="D323">
        <v>746900</v>
      </c>
      <c r="E323" s="3">
        <v>771648</v>
      </c>
      <c r="F323">
        <v>95633</v>
      </c>
      <c r="G323">
        <v>71</v>
      </c>
      <c r="H323">
        <v>93878</v>
      </c>
      <c r="I323">
        <v>29291</v>
      </c>
      <c r="J323">
        <v>82405</v>
      </c>
      <c r="K323">
        <v>2017</v>
      </c>
    </row>
    <row r="324" spans="1:11" x14ac:dyDescent="0.3">
      <c r="A324">
        <v>1</v>
      </c>
      <c r="B324" s="1" t="s">
        <v>15</v>
      </c>
      <c r="C324" s="1" t="s">
        <v>12</v>
      </c>
      <c r="D324">
        <v>753700</v>
      </c>
      <c r="E324" s="3">
        <v>864065</v>
      </c>
      <c r="F324">
        <v>95216</v>
      </c>
      <c r="G324">
        <v>70</v>
      </c>
      <c r="H324">
        <v>96532</v>
      </c>
      <c r="I324">
        <v>43196</v>
      </c>
      <c r="J324">
        <v>68051</v>
      </c>
      <c r="K324">
        <v>2017</v>
      </c>
    </row>
    <row r="325" spans="1:11" x14ac:dyDescent="0.3">
      <c r="A325">
        <v>34</v>
      </c>
      <c r="B325" s="1" t="s">
        <v>52</v>
      </c>
      <c r="C325" s="1" t="s">
        <v>12</v>
      </c>
      <c r="D325">
        <v>640300</v>
      </c>
      <c r="E325" s="3">
        <v>740017</v>
      </c>
      <c r="F325">
        <v>95127</v>
      </c>
      <c r="G325">
        <v>73</v>
      </c>
      <c r="H325">
        <v>62101</v>
      </c>
      <c r="I325">
        <v>22687</v>
      </c>
      <c r="J325">
        <v>15273</v>
      </c>
      <c r="K325">
        <v>2017</v>
      </c>
    </row>
    <row r="326" spans="1:11" x14ac:dyDescent="0.3">
      <c r="A326">
        <v>4</v>
      </c>
      <c r="B326" s="1" t="s">
        <v>11</v>
      </c>
      <c r="C326" s="1" t="s">
        <v>12</v>
      </c>
      <c r="D326">
        <v>749400</v>
      </c>
      <c r="E326" s="3">
        <v>836545</v>
      </c>
      <c r="F326">
        <v>94185</v>
      </c>
      <c r="G326">
        <v>72</v>
      </c>
      <c r="H326">
        <v>94200</v>
      </c>
      <c r="I326">
        <v>34669</v>
      </c>
      <c r="J326">
        <v>79044</v>
      </c>
      <c r="K326">
        <v>2017</v>
      </c>
    </row>
    <row r="327" spans="1:11" x14ac:dyDescent="0.3">
      <c r="A327">
        <v>9</v>
      </c>
      <c r="B327" s="1" t="s">
        <v>22</v>
      </c>
      <c r="C327" s="1" t="s">
        <v>17</v>
      </c>
      <c r="D327">
        <v>728400</v>
      </c>
      <c r="E327" s="3">
        <v>793480</v>
      </c>
      <c r="F327">
        <v>93758</v>
      </c>
      <c r="G327">
        <v>72</v>
      </c>
      <c r="H327">
        <v>91395</v>
      </c>
      <c r="I327">
        <v>57000</v>
      </c>
      <c r="J327">
        <v>64867</v>
      </c>
      <c r="K327">
        <v>2017</v>
      </c>
    </row>
    <row r="328" spans="1:11" x14ac:dyDescent="0.3">
      <c r="A328">
        <v>70</v>
      </c>
      <c r="B328" s="1" t="s">
        <v>71</v>
      </c>
      <c r="C328" s="1" t="s">
        <v>26</v>
      </c>
      <c r="D328">
        <v>549300</v>
      </c>
      <c r="E328" s="3">
        <v>498479</v>
      </c>
      <c r="F328">
        <v>93587</v>
      </c>
      <c r="G328">
        <v>64</v>
      </c>
      <c r="H328">
        <v>71934</v>
      </c>
      <c r="I328">
        <v>26746</v>
      </c>
      <c r="J328">
        <v>19613</v>
      </c>
      <c r="K328">
        <v>2017</v>
      </c>
    </row>
    <row r="329" spans="1:11" x14ac:dyDescent="0.3">
      <c r="A329">
        <v>40</v>
      </c>
      <c r="B329" s="1" t="s">
        <v>63</v>
      </c>
      <c r="C329" s="1" t="s">
        <v>47</v>
      </c>
      <c r="D329">
        <v>609800</v>
      </c>
      <c r="E329" s="3">
        <v>708477</v>
      </c>
      <c r="F329">
        <v>93449</v>
      </c>
      <c r="G329">
        <v>68</v>
      </c>
      <c r="H329">
        <v>44940</v>
      </c>
      <c r="I329">
        <v>16293</v>
      </c>
      <c r="J329">
        <v>5214</v>
      </c>
      <c r="K329">
        <v>2017</v>
      </c>
    </row>
    <row r="330" spans="1:11" x14ac:dyDescent="0.3">
      <c r="A330">
        <v>19</v>
      </c>
      <c r="B330" s="1" t="s">
        <v>35</v>
      </c>
      <c r="C330" s="1" t="s">
        <v>12</v>
      </c>
      <c r="D330">
        <v>671400</v>
      </c>
      <c r="E330" s="3">
        <v>770612</v>
      </c>
      <c r="F330">
        <v>92915</v>
      </c>
      <c r="G330">
        <v>71</v>
      </c>
      <c r="H330">
        <v>77203</v>
      </c>
      <c r="I330">
        <v>58798</v>
      </c>
      <c r="J330">
        <v>57166</v>
      </c>
      <c r="K330">
        <v>2017</v>
      </c>
    </row>
    <row r="331" spans="1:11" x14ac:dyDescent="0.3">
      <c r="A331">
        <v>59</v>
      </c>
      <c r="B331" s="1" t="s">
        <v>88</v>
      </c>
      <c r="C331" s="1" t="s">
        <v>62</v>
      </c>
      <c r="D331">
        <v>582200</v>
      </c>
      <c r="E331" s="3">
        <v>604446</v>
      </c>
      <c r="F331">
        <v>92709</v>
      </c>
      <c r="G331">
        <v>60</v>
      </c>
      <c r="H331">
        <v>63543</v>
      </c>
      <c r="I331">
        <v>29821</v>
      </c>
      <c r="J331">
        <v>55840</v>
      </c>
      <c r="K331">
        <v>2017</v>
      </c>
    </row>
    <row r="332" spans="1:11" x14ac:dyDescent="0.3">
      <c r="A332">
        <v>100</v>
      </c>
      <c r="B332" s="1" t="s">
        <v>120</v>
      </c>
      <c r="C332" s="1" t="s">
        <v>55</v>
      </c>
      <c r="D332">
        <v>495500</v>
      </c>
      <c r="E332" s="3">
        <v>549099</v>
      </c>
      <c r="F332">
        <v>92701</v>
      </c>
      <c r="G332">
        <v>63</v>
      </c>
      <c r="H332">
        <v>59878</v>
      </c>
      <c r="I332">
        <v>40386</v>
      </c>
      <c r="J332">
        <v>7086</v>
      </c>
      <c r="K332">
        <v>2017</v>
      </c>
    </row>
    <row r="333" spans="1:11" x14ac:dyDescent="0.3">
      <c r="A333">
        <v>27</v>
      </c>
      <c r="B333" s="1" t="s">
        <v>53</v>
      </c>
      <c r="C333" s="1" t="s">
        <v>12</v>
      </c>
      <c r="D333">
        <v>652700</v>
      </c>
      <c r="E333" s="3">
        <v>718037</v>
      </c>
      <c r="F333">
        <v>92415</v>
      </c>
      <c r="G333">
        <v>71</v>
      </c>
      <c r="H333">
        <v>89444</v>
      </c>
      <c r="I333">
        <v>68577</v>
      </c>
      <c r="J333">
        <v>32967</v>
      </c>
      <c r="K333">
        <v>2017</v>
      </c>
    </row>
    <row r="334" spans="1:11" x14ac:dyDescent="0.3">
      <c r="A334">
        <v>7</v>
      </c>
      <c r="B334" s="1" t="s">
        <v>16</v>
      </c>
      <c r="C334" s="1" t="s">
        <v>17</v>
      </c>
      <c r="D334">
        <v>731600</v>
      </c>
      <c r="E334" s="3">
        <v>790695</v>
      </c>
      <c r="F334">
        <v>91976</v>
      </c>
      <c r="G334">
        <v>71</v>
      </c>
      <c r="H334">
        <v>92837</v>
      </c>
      <c r="I334">
        <v>51969</v>
      </c>
      <c r="J334">
        <v>61892</v>
      </c>
      <c r="K334">
        <v>2017</v>
      </c>
    </row>
    <row r="335" spans="1:11" x14ac:dyDescent="0.3">
      <c r="A335">
        <v>10</v>
      </c>
      <c r="B335" s="1" t="s">
        <v>20</v>
      </c>
      <c r="C335" s="1" t="s">
        <v>12</v>
      </c>
      <c r="D335">
        <v>728400</v>
      </c>
      <c r="E335" s="3">
        <v>798810</v>
      </c>
      <c r="F335">
        <v>91779</v>
      </c>
      <c r="G335">
        <v>71</v>
      </c>
      <c r="H335">
        <v>93114</v>
      </c>
      <c r="I335">
        <v>45986</v>
      </c>
      <c r="J335">
        <v>82790</v>
      </c>
      <c r="K335">
        <v>2017</v>
      </c>
    </row>
    <row r="336" spans="1:11" x14ac:dyDescent="0.3">
      <c r="A336">
        <v>66</v>
      </c>
      <c r="B336" s="1" t="s">
        <v>92</v>
      </c>
      <c r="C336" s="1" t="s">
        <v>12</v>
      </c>
      <c r="D336">
        <v>561100</v>
      </c>
      <c r="E336" s="3">
        <v>706063</v>
      </c>
      <c r="F336">
        <v>91686</v>
      </c>
      <c r="G336">
        <v>67</v>
      </c>
      <c r="H336">
        <v>72789</v>
      </c>
      <c r="I336">
        <v>11800</v>
      </c>
      <c r="J336">
        <v>39467</v>
      </c>
      <c r="K336">
        <v>2017</v>
      </c>
    </row>
    <row r="337" spans="1:11" x14ac:dyDescent="0.3">
      <c r="A337">
        <v>52</v>
      </c>
      <c r="B337" s="1" t="s">
        <v>74</v>
      </c>
      <c r="C337" s="1" t="s">
        <v>12</v>
      </c>
      <c r="D337">
        <v>590200</v>
      </c>
      <c r="E337" s="3">
        <v>702697</v>
      </c>
      <c r="F337">
        <v>91490</v>
      </c>
      <c r="G337">
        <v>65</v>
      </c>
      <c r="H337">
        <v>35584</v>
      </c>
      <c r="I337">
        <v>1213</v>
      </c>
      <c r="J337">
        <v>2556</v>
      </c>
      <c r="K337">
        <v>2017</v>
      </c>
    </row>
    <row r="338" spans="1:11" x14ac:dyDescent="0.3">
      <c r="A338">
        <v>16</v>
      </c>
      <c r="B338" s="1" t="s">
        <v>41</v>
      </c>
      <c r="C338" s="1" t="s">
        <v>12</v>
      </c>
      <c r="D338">
        <v>695100</v>
      </c>
      <c r="E338" s="3">
        <v>795355</v>
      </c>
      <c r="F338">
        <v>91428</v>
      </c>
      <c r="G338">
        <v>70</v>
      </c>
      <c r="H338">
        <v>85456</v>
      </c>
      <c r="I338">
        <v>40124</v>
      </c>
      <c r="J338">
        <v>59601</v>
      </c>
      <c r="K338">
        <v>2017</v>
      </c>
    </row>
    <row r="339" spans="1:11" x14ac:dyDescent="0.3">
      <c r="A339">
        <v>49</v>
      </c>
      <c r="B339" s="1" t="s">
        <v>82</v>
      </c>
      <c r="C339" s="1" t="s">
        <v>62</v>
      </c>
      <c r="D339">
        <v>596300</v>
      </c>
      <c r="E339" s="3">
        <v>685162</v>
      </c>
      <c r="F339">
        <v>91227</v>
      </c>
      <c r="G339">
        <v>63</v>
      </c>
      <c r="H339">
        <v>56784</v>
      </c>
      <c r="I339">
        <v>6236</v>
      </c>
      <c r="J339">
        <v>7099</v>
      </c>
      <c r="K339">
        <v>2017</v>
      </c>
    </row>
    <row r="340" spans="1:11" x14ac:dyDescent="0.3">
      <c r="A340">
        <v>17</v>
      </c>
      <c r="B340" s="1" t="s">
        <v>33</v>
      </c>
      <c r="C340" s="1" t="s">
        <v>12</v>
      </c>
      <c r="D340">
        <v>689100</v>
      </c>
      <c r="E340" s="3">
        <v>782450</v>
      </c>
      <c r="F340">
        <v>90795</v>
      </c>
      <c r="G340">
        <v>71</v>
      </c>
      <c r="H340">
        <v>82001</v>
      </c>
      <c r="I340">
        <v>27623</v>
      </c>
      <c r="J340">
        <v>54133</v>
      </c>
      <c r="K340">
        <v>2017</v>
      </c>
    </row>
    <row r="341" spans="1:11" x14ac:dyDescent="0.3">
      <c r="A341">
        <v>13</v>
      </c>
      <c r="B341" s="1" t="s">
        <v>27</v>
      </c>
      <c r="C341" s="1" t="s">
        <v>12</v>
      </c>
      <c r="D341">
        <v>700600</v>
      </c>
      <c r="E341" s="3">
        <v>794914</v>
      </c>
      <c r="F341">
        <v>90647</v>
      </c>
      <c r="G341">
        <v>71</v>
      </c>
      <c r="H341">
        <v>86254</v>
      </c>
      <c r="I341">
        <v>37762</v>
      </c>
      <c r="J341">
        <v>47611</v>
      </c>
      <c r="K341">
        <v>2017</v>
      </c>
    </row>
    <row r="342" spans="1:11" x14ac:dyDescent="0.3">
      <c r="A342">
        <v>18</v>
      </c>
      <c r="B342" s="1" t="s">
        <v>31</v>
      </c>
      <c r="C342" s="1" t="s">
        <v>12</v>
      </c>
      <c r="D342">
        <v>686300</v>
      </c>
      <c r="E342" s="3">
        <v>931139</v>
      </c>
      <c r="F342">
        <v>90501</v>
      </c>
      <c r="G342">
        <v>72</v>
      </c>
      <c r="H342">
        <v>90639</v>
      </c>
      <c r="I342">
        <v>33789</v>
      </c>
      <c r="J342">
        <v>68669</v>
      </c>
      <c r="K342">
        <v>2017</v>
      </c>
    </row>
    <row r="343" spans="1:11" x14ac:dyDescent="0.3">
      <c r="A343">
        <v>62</v>
      </c>
      <c r="B343" s="1" t="s">
        <v>73</v>
      </c>
      <c r="C343" s="1" t="s">
        <v>47</v>
      </c>
      <c r="D343">
        <v>575800</v>
      </c>
      <c r="E343" s="3">
        <v>716929</v>
      </c>
      <c r="F343">
        <v>90186</v>
      </c>
      <c r="G343">
        <v>70</v>
      </c>
      <c r="H343">
        <v>86985</v>
      </c>
      <c r="I343">
        <v>28953</v>
      </c>
      <c r="J343">
        <v>9720</v>
      </c>
      <c r="K343">
        <v>2017</v>
      </c>
    </row>
    <row r="344" spans="1:11" x14ac:dyDescent="0.3">
      <c r="A344">
        <v>46</v>
      </c>
      <c r="B344" s="1" t="s">
        <v>78</v>
      </c>
      <c r="C344" s="1" t="s">
        <v>47</v>
      </c>
      <c r="D344">
        <v>597300</v>
      </c>
      <c r="E344" s="3">
        <v>690513</v>
      </c>
      <c r="F344">
        <v>89764</v>
      </c>
      <c r="G344">
        <v>68</v>
      </c>
      <c r="H344">
        <v>79049</v>
      </c>
      <c r="I344">
        <v>18908</v>
      </c>
      <c r="J344">
        <v>12773</v>
      </c>
      <c r="K344">
        <v>2017</v>
      </c>
    </row>
    <row r="345" spans="1:11" x14ac:dyDescent="0.3">
      <c r="A345">
        <v>67</v>
      </c>
      <c r="B345" s="1" t="s">
        <v>77</v>
      </c>
      <c r="C345" s="1" t="s">
        <v>62</v>
      </c>
      <c r="D345">
        <v>556900</v>
      </c>
      <c r="E345" s="3">
        <v>618227</v>
      </c>
      <c r="F345">
        <v>89716</v>
      </c>
      <c r="G345">
        <v>66</v>
      </c>
      <c r="H345">
        <v>44877</v>
      </c>
      <c r="I345">
        <v>18511</v>
      </c>
      <c r="J345">
        <v>33666</v>
      </c>
      <c r="K345">
        <v>2017</v>
      </c>
    </row>
    <row r="346" spans="1:11" x14ac:dyDescent="0.3">
      <c r="A346">
        <v>48</v>
      </c>
      <c r="B346" s="1" t="s">
        <v>68</v>
      </c>
      <c r="C346" s="1" t="s">
        <v>12</v>
      </c>
      <c r="D346">
        <v>596400</v>
      </c>
      <c r="E346" s="3">
        <v>745720</v>
      </c>
      <c r="F346">
        <v>89715</v>
      </c>
      <c r="G346">
        <v>72</v>
      </c>
      <c r="H346">
        <v>38960</v>
      </c>
      <c r="I346">
        <v>20617</v>
      </c>
      <c r="J346">
        <v>6037</v>
      </c>
      <c r="K346">
        <v>2017</v>
      </c>
    </row>
    <row r="347" spans="1:11" x14ac:dyDescent="0.3">
      <c r="A347">
        <v>24</v>
      </c>
      <c r="B347" s="1" t="s">
        <v>45</v>
      </c>
      <c r="C347" s="1" t="s">
        <v>26</v>
      </c>
      <c r="D347">
        <v>659900</v>
      </c>
      <c r="E347" s="3">
        <v>633588</v>
      </c>
      <c r="F347">
        <v>89437</v>
      </c>
      <c r="G347">
        <v>67</v>
      </c>
      <c r="H347">
        <v>75127</v>
      </c>
      <c r="I347">
        <v>13061</v>
      </c>
      <c r="J347">
        <v>12866</v>
      </c>
      <c r="K347">
        <v>2017</v>
      </c>
    </row>
    <row r="348" spans="1:11" x14ac:dyDescent="0.3">
      <c r="A348">
        <v>51</v>
      </c>
      <c r="B348" s="1" t="s">
        <v>64</v>
      </c>
      <c r="C348" s="1" t="s">
        <v>55</v>
      </c>
      <c r="D348">
        <v>592000</v>
      </c>
      <c r="E348" s="3">
        <v>757399</v>
      </c>
      <c r="F348">
        <v>89182</v>
      </c>
      <c r="G348">
        <v>74</v>
      </c>
      <c r="H348">
        <v>76814</v>
      </c>
      <c r="I348">
        <v>14387</v>
      </c>
      <c r="J348">
        <v>35270</v>
      </c>
      <c r="K348">
        <v>2017</v>
      </c>
    </row>
    <row r="349" spans="1:11" x14ac:dyDescent="0.3">
      <c r="A349">
        <v>105</v>
      </c>
      <c r="B349" s="1" t="s">
        <v>154</v>
      </c>
      <c r="C349" s="1" t="s">
        <v>47</v>
      </c>
      <c r="D349">
        <v>471400</v>
      </c>
      <c r="E349" s="3">
        <v>620847</v>
      </c>
      <c r="F349">
        <v>89060</v>
      </c>
      <c r="G349">
        <v>68</v>
      </c>
      <c r="H349">
        <v>43940</v>
      </c>
      <c r="I349">
        <v>13504</v>
      </c>
      <c r="J349">
        <v>2380</v>
      </c>
      <c r="K349">
        <v>2017</v>
      </c>
    </row>
    <row r="350" spans="1:11" x14ac:dyDescent="0.3">
      <c r="A350">
        <v>23</v>
      </c>
      <c r="B350" s="1" t="s">
        <v>46</v>
      </c>
      <c r="C350" s="1" t="s">
        <v>47</v>
      </c>
      <c r="D350">
        <v>660900</v>
      </c>
      <c r="E350" s="3">
        <v>723063</v>
      </c>
      <c r="F350">
        <v>89029</v>
      </c>
      <c r="G350">
        <v>69</v>
      </c>
      <c r="H350">
        <v>74584</v>
      </c>
      <c r="I350">
        <v>10513</v>
      </c>
      <c r="J350">
        <v>7941</v>
      </c>
      <c r="K350">
        <v>2017</v>
      </c>
    </row>
    <row r="351" spans="1:11" x14ac:dyDescent="0.3">
      <c r="A351">
        <v>82</v>
      </c>
      <c r="B351" s="1" t="s">
        <v>37</v>
      </c>
      <c r="C351" s="1" t="s">
        <v>26</v>
      </c>
      <c r="D351">
        <v>525000</v>
      </c>
      <c r="E351" s="3">
        <v>603192</v>
      </c>
      <c r="F351">
        <v>88871</v>
      </c>
      <c r="G351">
        <v>65</v>
      </c>
      <c r="H351">
        <v>23395</v>
      </c>
      <c r="I351">
        <v>7758</v>
      </c>
      <c r="J351">
        <v>13890</v>
      </c>
      <c r="K351">
        <v>2017</v>
      </c>
    </row>
    <row r="352" spans="1:11" x14ac:dyDescent="0.3">
      <c r="A352">
        <v>22</v>
      </c>
      <c r="B352" s="1" t="s">
        <v>30</v>
      </c>
      <c r="C352" s="1" t="s">
        <v>26</v>
      </c>
      <c r="D352">
        <v>663500</v>
      </c>
      <c r="E352" s="3">
        <v>591925</v>
      </c>
      <c r="F352">
        <v>88869</v>
      </c>
      <c r="G352">
        <v>65</v>
      </c>
      <c r="H352">
        <v>66457</v>
      </c>
      <c r="I352">
        <v>19372</v>
      </c>
      <c r="J352">
        <v>23927</v>
      </c>
      <c r="K352">
        <v>2017</v>
      </c>
    </row>
    <row r="353" spans="1:11" x14ac:dyDescent="0.3">
      <c r="A353">
        <v>6</v>
      </c>
      <c r="B353" s="1" t="s">
        <v>19</v>
      </c>
      <c r="C353" s="1" t="s">
        <v>12</v>
      </c>
      <c r="D353">
        <v>737700</v>
      </c>
      <c r="E353" s="3">
        <v>803919</v>
      </c>
      <c r="F353">
        <v>88722</v>
      </c>
      <c r="G353">
        <v>71</v>
      </c>
      <c r="H353">
        <v>88931</v>
      </c>
      <c r="I353">
        <v>56139</v>
      </c>
      <c r="J353">
        <v>60878</v>
      </c>
      <c r="K353">
        <v>2017</v>
      </c>
    </row>
    <row r="354" spans="1:11" x14ac:dyDescent="0.3">
      <c r="A354">
        <v>32</v>
      </c>
      <c r="B354" s="1" t="s">
        <v>50</v>
      </c>
      <c r="C354" s="1" t="s">
        <v>39</v>
      </c>
      <c r="D354">
        <v>642400</v>
      </c>
      <c r="E354" s="3">
        <v>602892</v>
      </c>
      <c r="F354">
        <v>88527</v>
      </c>
      <c r="G354">
        <v>66</v>
      </c>
      <c r="H354">
        <v>88143</v>
      </c>
      <c r="I354">
        <v>68266</v>
      </c>
      <c r="J354">
        <v>6809</v>
      </c>
      <c r="K354">
        <v>2017</v>
      </c>
    </row>
    <row r="355" spans="1:11" x14ac:dyDescent="0.3">
      <c r="A355">
        <v>14</v>
      </c>
      <c r="B355" s="1" t="s">
        <v>29</v>
      </c>
      <c r="C355" s="1" t="s">
        <v>17</v>
      </c>
      <c r="D355">
        <v>699300</v>
      </c>
      <c r="E355" s="3">
        <v>826538</v>
      </c>
      <c r="F355">
        <v>88162</v>
      </c>
      <c r="G355">
        <v>70</v>
      </c>
      <c r="H355">
        <v>76831</v>
      </c>
      <c r="I355">
        <v>46843</v>
      </c>
      <c r="J355">
        <v>29213</v>
      </c>
      <c r="K355">
        <v>2017</v>
      </c>
    </row>
    <row r="356" spans="1:11" x14ac:dyDescent="0.3">
      <c r="A356">
        <v>12</v>
      </c>
      <c r="B356" s="1" t="s">
        <v>25</v>
      </c>
      <c r="C356" s="1" t="s">
        <v>26</v>
      </c>
      <c r="D356">
        <v>707900</v>
      </c>
      <c r="E356" s="3">
        <v>593183</v>
      </c>
      <c r="F356">
        <v>87944</v>
      </c>
      <c r="G356">
        <v>69</v>
      </c>
      <c r="H356">
        <v>88133</v>
      </c>
      <c r="I356">
        <v>25608</v>
      </c>
      <c r="J356">
        <v>21560</v>
      </c>
      <c r="K356">
        <v>2017</v>
      </c>
    </row>
    <row r="357" spans="1:11" x14ac:dyDescent="0.3">
      <c r="A357">
        <v>28</v>
      </c>
      <c r="B357" s="1" t="s">
        <v>48</v>
      </c>
      <c r="C357" s="1" t="s">
        <v>26</v>
      </c>
      <c r="D357">
        <v>645400</v>
      </c>
      <c r="E357" s="3">
        <v>650835</v>
      </c>
      <c r="F357">
        <v>87685</v>
      </c>
      <c r="G357">
        <v>68</v>
      </c>
      <c r="H357">
        <v>88020</v>
      </c>
      <c r="I357">
        <v>20893</v>
      </c>
      <c r="J357">
        <v>38350</v>
      </c>
      <c r="K357">
        <v>2017</v>
      </c>
    </row>
    <row r="358" spans="1:11" x14ac:dyDescent="0.3">
      <c r="A358">
        <v>54</v>
      </c>
      <c r="B358" s="1" t="s">
        <v>109</v>
      </c>
      <c r="C358" s="1" t="s">
        <v>12</v>
      </c>
      <c r="D358">
        <v>585000</v>
      </c>
      <c r="E358" s="3">
        <v>673921</v>
      </c>
      <c r="F358">
        <v>87218</v>
      </c>
      <c r="G358">
        <v>66</v>
      </c>
      <c r="H358">
        <v>49481</v>
      </c>
      <c r="I358">
        <v>18265</v>
      </c>
      <c r="J358">
        <v>15904</v>
      </c>
      <c r="K358">
        <v>2017</v>
      </c>
    </row>
    <row r="359" spans="1:11" x14ac:dyDescent="0.3">
      <c r="A359">
        <v>86</v>
      </c>
      <c r="B359" s="1" t="s">
        <v>118</v>
      </c>
      <c r="C359" s="1" t="s">
        <v>26</v>
      </c>
      <c r="D359">
        <v>523000</v>
      </c>
      <c r="E359" s="3">
        <v>576969</v>
      </c>
      <c r="F359">
        <v>87076</v>
      </c>
      <c r="G359">
        <v>64</v>
      </c>
      <c r="H359">
        <v>83948</v>
      </c>
      <c r="I359">
        <v>22309</v>
      </c>
      <c r="J359">
        <v>24541</v>
      </c>
      <c r="K359">
        <v>2017</v>
      </c>
    </row>
    <row r="360" spans="1:11" x14ac:dyDescent="0.3">
      <c r="A360">
        <v>36</v>
      </c>
      <c r="B360" s="1" t="s">
        <v>49</v>
      </c>
      <c r="C360" s="1" t="s">
        <v>26</v>
      </c>
      <c r="D360">
        <v>635700</v>
      </c>
      <c r="E360" s="3">
        <v>572291</v>
      </c>
      <c r="F360">
        <v>87061</v>
      </c>
      <c r="G360">
        <v>64</v>
      </c>
      <c r="H360">
        <v>72539</v>
      </c>
      <c r="I360">
        <v>17781</v>
      </c>
      <c r="J360">
        <v>10051</v>
      </c>
      <c r="K360">
        <v>2017</v>
      </c>
    </row>
    <row r="361" spans="1:11" x14ac:dyDescent="0.3">
      <c r="A361">
        <v>132</v>
      </c>
      <c r="B361" s="1" t="s">
        <v>131</v>
      </c>
      <c r="C361" s="1" t="s">
        <v>62</v>
      </c>
      <c r="D361">
        <v>409600</v>
      </c>
      <c r="E361" s="3">
        <v>478228</v>
      </c>
      <c r="F361">
        <v>86586</v>
      </c>
      <c r="G361">
        <v>64</v>
      </c>
      <c r="H361">
        <v>18682</v>
      </c>
      <c r="I361">
        <v>32224</v>
      </c>
      <c r="J361">
        <v>4960</v>
      </c>
      <c r="K361">
        <v>2017</v>
      </c>
    </row>
    <row r="362" spans="1:11" x14ac:dyDescent="0.3">
      <c r="A362">
        <v>98</v>
      </c>
      <c r="B362" s="1" t="s">
        <v>96</v>
      </c>
      <c r="C362" s="1" t="s">
        <v>62</v>
      </c>
      <c r="D362">
        <v>500400</v>
      </c>
      <c r="E362" s="3">
        <v>318704</v>
      </c>
      <c r="F362">
        <v>86568</v>
      </c>
      <c r="G362">
        <v>63</v>
      </c>
      <c r="H362">
        <v>69114</v>
      </c>
      <c r="I362">
        <v>51139</v>
      </c>
      <c r="J362">
        <v>8494</v>
      </c>
      <c r="K362">
        <v>2017</v>
      </c>
    </row>
    <row r="363" spans="1:11" x14ac:dyDescent="0.3">
      <c r="A363">
        <v>31</v>
      </c>
      <c r="B363" s="1" t="s">
        <v>44</v>
      </c>
      <c r="C363" s="1" t="s">
        <v>12</v>
      </c>
      <c r="D363">
        <v>644200</v>
      </c>
      <c r="E363" s="3">
        <v>764887</v>
      </c>
      <c r="F363">
        <v>86167</v>
      </c>
      <c r="G363">
        <v>72</v>
      </c>
      <c r="H363">
        <v>71435</v>
      </c>
      <c r="I363">
        <v>15483</v>
      </c>
      <c r="J363">
        <v>37153</v>
      </c>
      <c r="K363">
        <v>2017</v>
      </c>
    </row>
    <row r="364" spans="1:11" x14ac:dyDescent="0.3">
      <c r="A364">
        <v>101</v>
      </c>
      <c r="B364" s="1" t="s">
        <v>133</v>
      </c>
      <c r="C364" s="1" t="s">
        <v>90</v>
      </c>
      <c r="D364">
        <v>482900</v>
      </c>
      <c r="E364" s="3">
        <v>563779</v>
      </c>
      <c r="F364">
        <v>85981</v>
      </c>
      <c r="G364">
        <v>53</v>
      </c>
      <c r="H364">
        <v>72806</v>
      </c>
      <c r="I364">
        <v>16629</v>
      </c>
      <c r="J364">
        <v>15617</v>
      </c>
      <c r="K364">
        <v>2017</v>
      </c>
    </row>
    <row r="365" spans="1:11" x14ac:dyDescent="0.3">
      <c r="A365">
        <v>33</v>
      </c>
      <c r="B365" s="1" t="s">
        <v>184</v>
      </c>
      <c r="C365" s="1" t="s">
        <v>55</v>
      </c>
      <c r="D365">
        <v>642200</v>
      </c>
      <c r="E365" s="3">
        <v>766331</v>
      </c>
      <c r="F365">
        <v>85967</v>
      </c>
      <c r="G365">
        <v>70</v>
      </c>
      <c r="H365">
        <v>54913</v>
      </c>
      <c r="I365">
        <v>30828</v>
      </c>
      <c r="J365">
        <v>13747</v>
      </c>
      <c r="K365">
        <v>2017</v>
      </c>
    </row>
    <row r="366" spans="1:11" x14ac:dyDescent="0.3">
      <c r="A366">
        <v>60</v>
      </c>
      <c r="B366" s="1" t="s">
        <v>72</v>
      </c>
      <c r="C366" s="1" t="s">
        <v>62</v>
      </c>
      <c r="D366">
        <v>581900</v>
      </c>
      <c r="E366" s="3">
        <v>686647</v>
      </c>
      <c r="F366">
        <v>85955</v>
      </c>
      <c r="G366">
        <v>65</v>
      </c>
      <c r="H366">
        <v>66457</v>
      </c>
      <c r="I366">
        <v>24099</v>
      </c>
      <c r="J366">
        <v>25690</v>
      </c>
      <c r="K366">
        <v>2017</v>
      </c>
    </row>
    <row r="367" spans="1:11" x14ac:dyDescent="0.3">
      <c r="A367">
        <v>38</v>
      </c>
      <c r="B367" s="1" t="s">
        <v>58</v>
      </c>
      <c r="C367" s="1" t="s">
        <v>26</v>
      </c>
      <c r="D367">
        <v>616800</v>
      </c>
      <c r="E367" s="3">
        <v>727700</v>
      </c>
      <c r="F367">
        <v>85698</v>
      </c>
      <c r="G367">
        <v>62</v>
      </c>
      <c r="H367">
        <v>78789</v>
      </c>
      <c r="I367">
        <v>38815</v>
      </c>
      <c r="J367">
        <v>1931</v>
      </c>
      <c r="K367">
        <v>2017</v>
      </c>
    </row>
    <row r="368" spans="1:11" x14ac:dyDescent="0.3">
      <c r="A368">
        <v>11</v>
      </c>
      <c r="B368" s="1" t="s">
        <v>23</v>
      </c>
      <c r="C368" s="1" t="s">
        <v>24</v>
      </c>
      <c r="D368">
        <v>721300</v>
      </c>
      <c r="E368" s="3">
        <v>735198</v>
      </c>
      <c r="F368">
        <v>85453</v>
      </c>
      <c r="G368">
        <v>72</v>
      </c>
      <c r="H368">
        <v>61677</v>
      </c>
      <c r="I368">
        <v>39386</v>
      </c>
      <c r="J368">
        <v>18359</v>
      </c>
      <c r="K368">
        <v>2017</v>
      </c>
    </row>
    <row r="369" spans="1:11" x14ac:dyDescent="0.3">
      <c r="A369">
        <v>30</v>
      </c>
      <c r="B369" s="1" t="s">
        <v>40</v>
      </c>
      <c r="C369" s="1" t="s">
        <v>26</v>
      </c>
      <c r="D369">
        <v>645200</v>
      </c>
      <c r="E369" s="3">
        <v>659488</v>
      </c>
      <c r="F369">
        <v>85261</v>
      </c>
      <c r="G369">
        <v>68</v>
      </c>
      <c r="H369">
        <v>83559</v>
      </c>
      <c r="I369">
        <v>25124</v>
      </c>
      <c r="J369">
        <v>15288</v>
      </c>
      <c r="K369">
        <v>2017</v>
      </c>
    </row>
    <row r="370" spans="1:11" x14ac:dyDescent="0.3">
      <c r="A370">
        <v>76</v>
      </c>
      <c r="B370" s="1" t="s">
        <v>83</v>
      </c>
      <c r="C370" s="1" t="s">
        <v>26</v>
      </c>
      <c r="D370">
        <v>531100</v>
      </c>
      <c r="E370" s="3">
        <v>494760</v>
      </c>
      <c r="F370">
        <v>84952</v>
      </c>
      <c r="G370">
        <v>66</v>
      </c>
      <c r="H370">
        <v>72056</v>
      </c>
      <c r="I370">
        <v>27899</v>
      </c>
      <c r="J370">
        <v>11903</v>
      </c>
      <c r="K370">
        <v>2017</v>
      </c>
    </row>
    <row r="371" spans="1:11" x14ac:dyDescent="0.3">
      <c r="A371">
        <v>89</v>
      </c>
      <c r="B371" s="1" t="s">
        <v>108</v>
      </c>
      <c r="C371" s="1" t="s">
        <v>12</v>
      </c>
      <c r="D371">
        <v>519500</v>
      </c>
      <c r="E371" s="3">
        <v>703014</v>
      </c>
      <c r="F371">
        <v>84879</v>
      </c>
      <c r="G371">
        <v>70</v>
      </c>
      <c r="H371">
        <v>75726</v>
      </c>
      <c r="I371">
        <v>11348</v>
      </c>
      <c r="J371">
        <v>3418</v>
      </c>
      <c r="K371">
        <v>2017</v>
      </c>
    </row>
    <row r="372" spans="1:11" x14ac:dyDescent="0.3">
      <c r="A372">
        <v>68</v>
      </c>
      <c r="B372" s="1" t="s">
        <v>81</v>
      </c>
      <c r="C372" s="1" t="s">
        <v>24</v>
      </c>
      <c r="D372">
        <v>552500</v>
      </c>
      <c r="E372" s="3">
        <v>588958</v>
      </c>
      <c r="F372">
        <v>84291</v>
      </c>
      <c r="G372">
        <v>62</v>
      </c>
      <c r="H372">
        <v>70753</v>
      </c>
      <c r="I372">
        <v>18146</v>
      </c>
      <c r="J372">
        <v>19946</v>
      </c>
      <c r="K372">
        <v>2017</v>
      </c>
    </row>
    <row r="373" spans="1:11" x14ac:dyDescent="0.3">
      <c r="A373">
        <v>26</v>
      </c>
      <c r="B373" s="1" t="s">
        <v>38</v>
      </c>
      <c r="C373" s="1" t="s">
        <v>39</v>
      </c>
      <c r="D373">
        <v>657200</v>
      </c>
      <c r="E373" s="3">
        <v>904591</v>
      </c>
      <c r="F373">
        <v>84058</v>
      </c>
      <c r="G373">
        <v>75</v>
      </c>
      <c r="H373">
        <v>83531</v>
      </c>
      <c r="I373">
        <v>41281</v>
      </c>
      <c r="J373">
        <v>100000</v>
      </c>
      <c r="K373">
        <v>2017</v>
      </c>
    </row>
    <row r="374" spans="1:11" x14ac:dyDescent="0.3">
      <c r="A374">
        <v>75</v>
      </c>
      <c r="B374" s="1" t="s">
        <v>124</v>
      </c>
      <c r="C374" s="1" t="s">
        <v>47</v>
      </c>
      <c r="D374">
        <v>532400</v>
      </c>
      <c r="E374" s="3">
        <v>687425</v>
      </c>
      <c r="F374">
        <v>83395</v>
      </c>
      <c r="G374">
        <v>67</v>
      </c>
      <c r="H374">
        <v>26717</v>
      </c>
      <c r="I374">
        <v>9355</v>
      </c>
      <c r="J374">
        <v>7891</v>
      </c>
      <c r="K374">
        <v>2017</v>
      </c>
    </row>
    <row r="375" spans="1:11" x14ac:dyDescent="0.3">
      <c r="A375">
        <v>97</v>
      </c>
      <c r="B375" s="1" t="s">
        <v>98</v>
      </c>
      <c r="C375" s="1" t="s">
        <v>99</v>
      </c>
      <c r="D375">
        <v>501100</v>
      </c>
      <c r="E375" s="3">
        <v>473291</v>
      </c>
      <c r="F375">
        <v>83208</v>
      </c>
      <c r="G375">
        <v>62</v>
      </c>
      <c r="H375">
        <v>76193</v>
      </c>
      <c r="I375">
        <v>56565</v>
      </c>
      <c r="J375">
        <v>37342</v>
      </c>
      <c r="K375">
        <v>2017</v>
      </c>
    </row>
    <row r="376" spans="1:11" x14ac:dyDescent="0.3">
      <c r="A376">
        <v>69</v>
      </c>
      <c r="B376" s="1" t="s">
        <v>95</v>
      </c>
      <c r="C376" s="1" t="s">
        <v>24</v>
      </c>
      <c r="D376">
        <v>550000</v>
      </c>
      <c r="E376" s="3">
        <v>640526</v>
      </c>
      <c r="F376">
        <v>83061</v>
      </c>
      <c r="G376">
        <v>66</v>
      </c>
      <c r="H376">
        <v>45688</v>
      </c>
      <c r="I376">
        <v>5571</v>
      </c>
      <c r="J376">
        <v>21467</v>
      </c>
      <c r="K376">
        <v>2017</v>
      </c>
    </row>
    <row r="377" spans="1:11" x14ac:dyDescent="0.3">
      <c r="A377">
        <v>41</v>
      </c>
      <c r="B377" s="1" t="s">
        <v>67</v>
      </c>
      <c r="C377" s="1" t="s">
        <v>24</v>
      </c>
      <c r="D377">
        <v>608700</v>
      </c>
      <c r="E377" s="3">
        <v>795617</v>
      </c>
      <c r="F377">
        <v>82151</v>
      </c>
      <c r="G377">
        <v>66</v>
      </c>
      <c r="H377">
        <v>81542</v>
      </c>
      <c r="I377">
        <v>20603</v>
      </c>
      <c r="J377">
        <v>55360</v>
      </c>
      <c r="K377">
        <v>2017</v>
      </c>
    </row>
    <row r="378" spans="1:11" x14ac:dyDescent="0.3">
      <c r="A378">
        <v>43</v>
      </c>
      <c r="B378" s="1" t="s">
        <v>75</v>
      </c>
      <c r="C378" s="1" t="s">
        <v>26</v>
      </c>
      <c r="D378">
        <v>607100</v>
      </c>
      <c r="E378" s="3">
        <v>394116</v>
      </c>
      <c r="F378">
        <v>79923</v>
      </c>
      <c r="G378">
        <v>66</v>
      </c>
      <c r="H378">
        <v>67991</v>
      </c>
      <c r="I378">
        <v>35996</v>
      </c>
      <c r="J378">
        <v>28147</v>
      </c>
      <c r="K378">
        <v>2017</v>
      </c>
    </row>
    <row r="379" spans="1:11" x14ac:dyDescent="0.3">
      <c r="A379">
        <v>37</v>
      </c>
      <c r="B379" s="1" t="s">
        <v>51</v>
      </c>
      <c r="C379" s="1" t="s">
        <v>24</v>
      </c>
      <c r="D379">
        <v>634400</v>
      </c>
      <c r="E379" s="3">
        <v>818180</v>
      </c>
      <c r="F379">
        <v>79889</v>
      </c>
      <c r="G379">
        <v>64</v>
      </c>
      <c r="H379">
        <v>68325</v>
      </c>
      <c r="I379">
        <v>17614</v>
      </c>
      <c r="J379">
        <v>58890</v>
      </c>
      <c r="K379">
        <v>2017</v>
      </c>
    </row>
    <row r="380" spans="1:11" x14ac:dyDescent="0.3">
      <c r="A380">
        <v>44</v>
      </c>
      <c r="B380" s="1" t="s">
        <v>66</v>
      </c>
      <c r="C380" s="1" t="s">
        <v>26</v>
      </c>
      <c r="D380">
        <v>600800</v>
      </c>
      <c r="E380" s="3">
        <v>534979</v>
      </c>
      <c r="F380">
        <v>79858</v>
      </c>
      <c r="G380">
        <v>67</v>
      </c>
      <c r="H380">
        <v>69153</v>
      </c>
      <c r="I380">
        <v>17912</v>
      </c>
      <c r="J380">
        <v>30181</v>
      </c>
      <c r="K380">
        <v>2017</v>
      </c>
    </row>
    <row r="381" spans="1:11" x14ac:dyDescent="0.3">
      <c r="A381">
        <v>42</v>
      </c>
      <c r="B381" s="1" t="s">
        <v>79</v>
      </c>
      <c r="C381" s="1" t="s">
        <v>39</v>
      </c>
      <c r="D381">
        <v>608400</v>
      </c>
      <c r="E381" s="3">
        <v>690207</v>
      </c>
      <c r="F381">
        <v>79763</v>
      </c>
      <c r="G381">
        <v>65</v>
      </c>
      <c r="H381">
        <v>61111</v>
      </c>
      <c r="I381">
        <v>49710</v>
      </c>
      <c r="J381">
        <v>14129</v>
      </c>
      <c r="K381">
        <v>2017</v>
      </c>
    </row>
    <row r="382" spans="1:11" x14ac:dyDescent="0.3">
      <c r="A382">
        <v>20</v>
      </c>
      <c r="B382" s="1" t="s">
        <v>42</v>
      </c>
      <c r="C382" s="1" t="s">
        <v>26</v>
      </c>
      <c r="D382">
        <v>665200</v>
      </c>
      <c r="E382" s="3">
        <v>669664</v>
      </c>
      <c r="F382">
        <v>79725</v>
      </c>
      <c r="G382">
        <v>71</v>
      </c>
      <c r="H382">
        <v>57257</v>
      </c>
      <c r="I382">
        <v>38978</v>
      </c>
      <c r="J382">
        <v>17723</v>
      </c>
      <c r="K382">
        <v>2017</v>
      </c>
    </row>
    <row r="383" spans="1:11" x14ac:dyDescent="0.3">
      <c r="A383">
        <v>127</v>
      </c>
      <c r="B383" s="1" t="s">
        <v>158</v>
      </c>
      <c r="C383" s="1" t="s">
        <v>90</v>
      </c>
      <c r="D383">
        <v>419000</v>
      </c>
      <c r="E383" s="3">
        <v>254538</v>
      </c>
      <c r="F383">
        <v>79566</v>
      </c>
      <c r="G383">
        <v>52</v>
      </c>
      <c r="H383">
        <v>46580</v>
      </c>
      <c r="I383">
        <v>21878</v>
      </c>
      <c r="J383">
        <v>22608</v>
      </c>
      <c r="K383">
        <v>2017</v>
      </c>
    </row>
    <row r="384" spans="1:11" x14ac:dyDescent="0.3">
      <c r="A384">
        <v>94</v>
      </c>
      <c r="B384" s="1" t="s">
        <v>94</v>
      </c>
      <c r="C384" s="1" t="s">
        <v>39</v>
      </c>
      <c r="D384">
        <v>507400</v>
      </c>
      <c r="E384" s="3">
        <v>421511</v>
      </c>
      <c r="F384">
        <v>79319</v>
      </c>
      <c r="G384">
        <v>66</v>
      </c>
      <c r="H384">
        <v>86754</v>
      </c>
      <c r="I384">
        <v>28037</v>
      </c>
      <c r="J384">
        <v>18874</v>
      </c>
      <c r="K384">
        <v>2017</v>
      </c>
    </row>
    <row r="385" spans="1:11" x14ac:dyDescent="0.3">
      <c r="A385">
        <v>81</v>
      </c>
      <c r="B385" s="1" t="s">
        <v>93</v>
      </c>
      <c r="C385" s="1" t="s">
        <v>39</v>
      </c>
      <c r="D385">
        <v>526200</v>
      </c>
      <c r="E385" s="3">
        <v>532156</v>
      </c>
      <c r="F385">
        <v>79130</v>
      </c>
      <c r="G385">
        <v>62</v>
      </c>
      <c r="H385">
        <v>67349</v>
      </c>
      <c r="I385">
        <v>72989</v>
      </c>
      <c r="J385">
        <v>3299</v>
      </c>
      <c r="K385">
        <v>2017</v>
      </c>
    </row>
    <row r="386" spans="1:11" x14ac:dyDescent="0.3">
      <c r="A386">
        <v>35</v>
      </c>
      <c r="B386" s="1" t="s">
        <v>43</v>
      </c>
      <c r="C386" s="1" t="s">
        <v>24</v>
      </c>
      <c r="D386">
        <v>637500</v>
      </c>
      <c r="E386" s="3">
        <v>1000000</v>
      </c>
      <c r="F386">
        <v>79121</v>
      </c>
      <c r="G386">
        <v>68</v>
      </c>
      <c r="H386">
        <v>91779</v>
      </c>
      <c r="I386">
        <v>39432</v>
      </c>
      <c r="J386">
        <v>94614</v>
      </c>
      <c r="K386">
        <v>2017</v>
      </c>
    </row>
    <row r="387" spans="1:11" x14ac:dyDescent="0.3">
      <c r="A387">
        <v>123</v>
      </c>
      <c r="B387" s="1" t="s">
        <v>144</v>
      </c>
      <c r="C387" s="1" t="s">
        <v>24</v>
      </c>
      <c r="D387">
        <v>429200</v>
      </c>
      <c r="E387" s="3">
        <v>346627</v>
      </c>
      <c r="F387">
        <v>78980</v>
      </c>
      <c r="G387">
        <v>56</v>
      </c>
      <c r="H387">
        <v>14599</v>
      </c>
      <c r="I387">
        <v>24087</v>
      </c>
      <c r="J387">
        <v>29497</v>
      </c>
      <c r="K387">
        <v>2017</v>
      </c>
    </row>
    <row r="388" spans="1:11" x14ac:dyDescent="0.3">
      <c r="A388">
        <v>96</v>
      </c>
      <c r="B388" s="1" t="s">
        <v>126</v>
      </c>
      <c r="C388" s="1" t="s">
        <v>62</v>
      </c>
      <c r="D388">
        <v>504100</v>
      </c>
      <c r="E388" s="3">
        <v>280481</v>
      </c>
      <c r="F388">
        <v>78945</v>
      </c>
      <c r="G388">
        <v>63</v>
      </c>
      <c r="H388">
        <v>71640</v>
      </c>
      <c r="I388">
        <v>29711</v>
      </c>
      <c r="J388">
        <v>31526</v>
      </c>
      <c r="K388">
        <v>2017</v>
      </c>
    </row>
    <row r="389" spans="1:11" x14ac:dyDescent="0.3">
      <c r="A389">
        <v>21</v>
      </c>
      <c r="B389" s="1" t="s">
        <v>34</v>
      </c>
      <c r="C389" s="1" t="s">
        <v>24</v>
      </c>
      <c r="D389">
        <v>664800</v>
      </c>
      <c r="E389" s="3">
        <v>869346</v>
      </c>
      <c r="F389">
        <v>78631</v>
      </c>
      <c r="G389">
        <v>68</v>
      </c>
      <c r="H389">
        <v>92419</v>
      </c>
      <c r="I389">
        <v>43068</v>
      </c>
      <c r="J389">
        <v>69887</v>
      </c>
      <c r="K389">
        <v>2017</v>
      </c>
    </row>
    <row r="390" spans="1:11" x14ac:dyDescent="0.3">
      <c r="A390">
        <v>71</v>
      </c>
      <c r="B390" s="1" t="s">
        <v>185</v>
      </c>
      <c r="C390" s="1" t="s">
        <v>55</v>
      </c>
      <c r="D390">
        <v>547200</v>
      </c>
      <c r="E390" s="3">
        <v>829433</v>
      </c>
      <c r="F390">
        <v>78406</v>
      </c>
      <c r="G390">
        <v>75</v>
      </c>
      <c r="H390">
        <v>74587</v>
      </c>
      <c r="I390">
        <v>44682</v>
      </c>
      <c r="J390">
        <v>63306</v>
      </c>
      <c r="K390">
        <v>2017</v>
      </c>
    </row>
    <row r="391" spans="1:11" x14ac:dyDescent="0.3">
      <c r="A391">
        <v>120</v>
      </c>
      <c r="B391" s="1" t="s">
        <v>152</v>
      </c>
      <c r="C391" s="1" t="s">
        <v>99</v>
      </c>
      <c r="D391">
        <v>444000</v>
      </c>
      <c r="E391" s="3">
        <v>539806</v>
      </c>
      <c r="F391">
        <v>78232</v>
      </c>
      <c r="G391">
        <v>65</v>
      </c>
      <c r="H391">
        <v>85259</v>
      </c>
      <c r="I391">
        <v>58570</v>
      </c>
      <c r="J391">
        <v>15863</v>
      </c>
      <c r="K391">
        <v>2017</v>
      </c>
    </row>
    <row r="392" spans="1:11" x14ac:dyDescent="0.3">
      <c r="A392">
        <v>39</v>
      </c>
      <c r="B392" s="1" t="s">
        <v>56</v>
      </c>
      <c r="C392" s="1" t="s">
        <v>24</v>
      </c>
      <c r="D392">
        <v>610500</v>
      </c>
      <c r="E392" s="3">
        <v>872879</v>
      </c>
      <c r="F392">
        <v>78214</v>
      </c>
      <c r="G392">
        <v>66</v>
      </c>
      <c r="H392">
        <v>75403</v>
      </c>
      <c r="I392">
        <v>27240</v>
      </c>
      <c r="J392">
        <v>46340</v>
      </c>
      <c r="K392">
        <v>2017</v>
      </c>
    </row>
    <row r="393" spans="1:11" x14ac:dyDescent="0.3">
      <c r="A393">
        <v>73</v>
      </c>
      <c r="B393" s="1" t="s">
        <v>107</v>
      </c>
      <c r="C393" s="1" t="s">
        <v>47</v>
      </c>
      <c r="D393">
        <v>539500</v>
      </c>
      <c r="E393" s="3">
        <v>571594</v>
      </c>
      <c r="F393">
        <v>78121</v>
      </c>
      <c r="G393">
        <v>66</v>
      </c>
      <c r="H393">
        <v>31708</v>
      </c>
      <c r="I393">
        <v>26266</v>
      </c>
      <c r="J393">
        <v>8810</v>
      </c>
      <c r="K393">
        <v>2017</v>
      </c>
    </row>
    <row r="394" spans="1:11" x14ac:dyDescent="0.3">
      <c r="A394">
        <v>29</v>
      </c>
      <c r="B394" s="1" t="s">
        <v>60</v>
      </c>
      <c r="C394" s="1" t="s">
        <v>26</v>
      </c>
      <c r="D394">
        <v>645400</v>
      </c>
      <c r="E394" s="3">
        <v>466120</v>
      </c>
      <c r="F394">
        <v>77959</v>
      </c>
      <c r="G394">
        <v>63</v>
      </c>
      <c r="H394">
        <v>80716</v>
      </c>
      <c r="I394">
        <v>33826</v>
      </c>
      <c r="J394">
        <v>16632</v>
      </c>
      <c r="K394">
        <v>2017</v>
      </c>
    </row>
    <row r="395" spans="1:11" x14ac:dyDescent="0.3">
      <c r="A395">
        <v>72</v>
      </c>
      <c r="B395" s="1" t="s">
        <v>110</v>
      </c>
      <c r="C395" s="1" t="s">
        <v>39</v>
      </c>
      <c r="D395">
        <v>543000</v>
      </c>
      <c r="E395" s="3">
        <v>458475</v>
      </c>
      <c r="F395">
        <v>77855</v>
      </c>
      <c r="G395">
        <v>61</v>
      </c>
      <c r="H395">
        <v>88905</v>
      </c>
      <c r="I395">
        <v>23090</v>
      </c>
      <c r="J395">
        <v>21394</v>
      </c>
      <c r="K395">
        <v>2017</v>
      </c>
    </row>
    <row r="396" spans="1:11" x14ac:dyDescent="0.3">
      <c r="A396">
        <v>56</v>
      </c>
      <c r="B396" s="1" t="s">
        <v>70</v>
      </c>
      <c r="C396" s="1" t="s">
        <v>47</v>
      </c>
      <c r="D396">
        <v>583800</v>
      </c>
      <c r="E396" s="3">
        <v>389611</v>
      </c>
      <c r="F396">
        <v>77725</v>
      </c>
      <c r="G396">
        <v>64</v>
      </c>
      <c r="H396">
        <v>36571</v>
      </c>
      <c r="I396">
        <v>24912</v>
      </c>
      <c r="J396">
        <v>2173</v>
      </c>
      <c r="K396">
        <v>2017</v>
      </c>
    </row>
    <row r="397" spans="1:11" x14ac:dyDescent="0.3">
      <c r="A397">
        <v>87</v>
      </c>
      <c r="B397" s="1" t="s">
        <v>122</v>
      </c>
      <c r="C397" s="1" t="s">
        <v>186</v>
      </c>
      <c r="D397">
        <v>522700</v>
      </c>
      <c r="E397" s="3">
        <v>689283</v>
      </c>
      <c r="F397">
        <v>76955</v>
      </c>
      <c r="G397">
        <v>71</v>
      </c>
      <c r="H397">
        <v>14543</v>
      </c>
      <c r="I397">
        <v>0</v>
      </c>
      <c r="J397">
        <v>9324</v>
      </c>
      <c r="K397">
        <v>2017</v>
      </c>
    </row>
    <row r="398" spans="1:11" x14ac:dyDescent="0.3">
      <c r="A398">
        <v>74</v>
      </c>
      <c r="B398" s="1" t="s">
        <v>103</v>
      </c>
      <c r="C398" s="1" t="s">
        <v>24</v>
      </c>
      <c r="D398">
        <v>533600</v>
      </c>
      <c r="E398" s="3">
        <v>529736</v>
      </c>
      <c r="F398">
        <v>76935</v>
      </c>
      <c r="G398">
        <v>65</v>
      </c>
      <c r="H398">
        <v>63566</v>
      </c>
      <c r="I398">
        <v>20544</v>
      </c>
      <c r="J398">
        <v>25803</v>
      </c>
      <c r="K398">
        <v>2017</v>
      </c>
    </row>
    <row r="399" spans="1:11" x14ac:dyDescent="0.3">
      <c r="A399">
        <v>83</v>
      </c>
      <c r="B399" s="1" t="s">
        <v>102</v>
      </c>
      <c r="C399" s="1" t="s">
        <v>47</v>
      </c>
      <c r="D399">
        <v>523700</v>
      </c>
      <c r="E399" s="3">
        <v>599289</v>
      </c>
      <c r="F399">
        <v>76890</v>
      </c>
      <c r="G399">
        <v>67</v>
      </c>
      <c r="H399">
        <v>29622</v>
      </c>
      <c r="I399">
        <v>23615</v>
      </c>
      <c r="J399">
        <v>18990</v>
      </c>
      <c r="K399">
        <v>2017</v>
      </c>
    </row>
    <row r="400" spans="1:11" x14ac:dyDescent="0.3">
      <c r="A400">
        <v>126</v>
      </c>
      <c r="B400" s="1" t="s">
        <v>140</v>
      </c>
      <c r="C400" s="1" t="s">
        <v>90</v>
      </c>
      <c r="D400">
        <v>428000</v>
      </c>
      <c r="E400" s="3">
        <v>49232</v>
      </c>
      <c r="F400">
        <v>76310</v>
      </c>
      <c r="G400">
        <v>53</v>
      </c>
      <c r="H400">
        <v>35847</v>
      </c>
      <c r="I400">
        <v>29407</v>
      </c>
      <c r="J400">
        <v>12974</v>
      </c>
      <c r="K400">
        <v>2017</v>
      </c>
    </row>
    <row r="401" spans="1:11" x14ac:dyDescent="0.3">
      <c r="A401">
        <v>58</v>
      </c>
      <c r="B401" s="1" t="s">
        <v>69</v>
      </c>
      <c r="C401" s="1" t="s">
        <v>26</v>
      </c>
      <c r="D401">
        <v>582300</v>
      </c>
      <c r="E401" s="3">
        <v>445677</v>
      </c>
      <c r="F401">
        <v>76222</v>
      </c>
      <c r="G401">
        <v>61</v>
      </c>
      <c r="H401">
        <v>84882</v>
      </c>
      <c r="I401">
        <v>26914</v>
      </c>
      <c r="J401">
        <v>13025</v>
      </c>
      <c r="K401">
        <v>2017</v>
      </c>
    </row>
    <row r="402" spans="1:11" x14ac:dyDescent="0.3">
      <c r="A402">
        <v>142</v>
      </c>
      <c r="B402" s="1" t="s">
        <v>148</v>
      </c>
      <c r="C402" s="1" t="s">
        <v>90</v>
      </c>
      <c r="D402">
        <v>376600</v>
      </c>
      <c r="E402" s="3">
        <v>599805</v>
      </c>
      <c r="F402">
        <v>75846</v>
      </c>
      <c r="G402">
        <v>57</v>
      </c>
      <c r="H402">
        <v>76749</v>
      </c>
      <c r="I402">
        <v>11854</v>
      </c>
      <c r="J402">
        <v>21232</v>
      </c>
      <c r="K402">
        <v>2017</v>
      </c>
    </row>
    <row r="403" spans="1:11" x14ac:dyDescent="0.3">
      <c r="A403">
        <v>63</v>
      </c>
      <c r="B403" s="1" t="s">
        <v>76</v>
      </c>
      <c r="C403" s="1" t="s">
        <v>26</v>
      </c>
      <c r="D403">
        <v>571500</v>
      </c>
      <c r="E403" s="3">
        <v>553370</v>
      </c>
      <c r="F403">
        <v>75673</v>
      </c>
      <c r="G403">
        <v>66</v>
      </c>
      <c r="H403">
        <v>68364</v>
      </c>
      <c r="I403">
        <v>15132</v>
      </c>
      <c r="J403">
        <v>10133</v>
      </c>
      <c r="K403">
        <v>2017</v>
      </c>
    </row>
    <row r="404" spans="1:11" x14ac:dyDescent="0.3">
      <c r="A404">
        <v>95</v>
      </c>
      <c r="B404" s="1" t="s">
        <v>97</v>
      </c>
      <c r="C404" s="1" t="s">
        <v>90</v>
      </c>
      <c r="D404">
        <v>507400</v>
      </c>
      <c r="E404" s="3">
        <v>418949</v>
      </c>
      <c r="F404">
        <v>75487</v>
      </c>
      <c r="G404">
        <v>49</v>
      </c>
      <c r="H404">
        <v>60001</v>
      </c>
      <c r="I404">
        <v>27557</v>
      </c>
      <c r="J404">
        <v>5626</v>
      </c>
      <c r="K404">
        <v>2017</v>
      </c>
    </row>
    <row r="405" spans="1:11" x14ac:dyDescent="0.3">
      <c r="A405">
        <v>130</v>
      </c>
      <c r="B405" s="1" t="s">
        <v>138</v>
      </c>
      <c r="C405" s="1" t="s">
        <v>12</v>
      </c>
      <c r="D405">
        <v>413900</v>
      </c>
      <c r="E405" s="3">
        <v>352538</v>
      </c>
      <c r="F405">
        <v>75377</v>
      </c>
      <c r="G405">
        <v>56</v>
      </c>
      <c r="H405">
        <v>2278</v>
      </c>
      <c r="I405">
        <v>21754</v>
      </c>
      <c r="J405">
        <v>19351</v>
      </c>
      <c r="K405">
        <v>2017</v>
      </c>
    </row>
    <row r="406" spans="1:11" x14ac:dyDescent="0.3">
      <c r="A406">
        <v>25</v>
      </c>
      <c r="B406" s="1" t="s">
        <v>28</v>
      </c>
      <c r="C406" s="1" t="s">
        <v>26</v>
      </c>
      <c r="D406">
        <v>657800</v>
      </c>
      <c r="E406" s="3">
        <v>616423</v>
      </c>
      <c r="F406">
        <v>75182</v>
      </c>
      <c r="G406">
        <v>68</v>
      </c>
      <c r="H406">
        <v>62701</v>
      </c>
      <c r="I406">
        <v>14437</v>
      </c>
      <c r="J406">
        <v>28596</v>
      </c>
      <c r="K406">
        <v>2017</v>
      </c>
    </row>
    <row r="407" spans="1:11" x14ac:dyDescent="0.3">
      <c r="A407">
        <v>64</v>
      </c>
      <c r="B407" s="1" t="s">
        <v>89</v>
      </c>
      <c r="C407" s="1" t="s">
        <v>90</v>
      </c>
      <c r="D407">
        <v>562900</v>
      </c>
      <c r="E407" s="3">
        <v>635780</v>
      </c>
      <c r="F407">
        <v>75101</v>
      </c>
      <c r="G407">
        <v>66</v>
      </c>
      <c r="H407">
        <v>74629</v>
      </c>
      <c r="I407">
        <v>43067</v>
      </c>
      <c r="J407">
        <v>9085</v>
      </c>
      <c r="K407">
        <v>2017</v>
      </c>
    </row>
    <row r="408" spans="1:11" x14ac:dyDescent="0.3">
      <c r="A408">
        <v>92</v>
      </c>
      <c r="B408" s="1" t="s">
        <v>113</v>
      </c>
      <c r="C408" s="1" t="s">
        <v>47</v>
      </c>
      <c r="D408">
        <v>517500</v>
      </c>
      <c r="E408" s="3">
        <v>569060</v>
      </c>
      <c r="F408">
        <v>74998</v>
      </c>
      <c r="G408">
        <v>66</v>
      </c>
      <c r="H408">
        <v>49511</v>
      </c>
      <c r="I408">
        <v>30279</v>
      </c>
      <c r="J408">
        <v>12982</v>
      </c>
      <c r="K408">
        <v>2017</v>
      </c>
    </row>
    <row r="409" spans="1:11" x14ac:dyDescent="0.3">
      <c r="A409">
        <v>139</v>
      </c>
      <c r="B409" s="1" t="s">
        <v>117</v>
      </c>
      <c r="C409" s="1" t="s">
        <v>90</v>
      </c>
      <c r="D409">
        <v>380800</v>
      </c>
      <c r="E409" s="3">
        <v>278507</v>
      </c>
      <c r="F409">
        <v>73893</v>
      </c>
      <c r="G409">
        <v>47</v>
      </c>
      <c r="H409">
        <v>59349</v>
      </c>
      <c r="I409">
        <v>18793</v>
      </c>
      <c r="J409">
        <v>25650</v>
      </c>
      <c r="K409">
        <v>2017</v>
      </c>
    </row>
    <row r="410" spans="1:11" x14ac:dyDescent="0.3">
      <c r="A410">
        <v>61</v>
      </c>
      <c r="B410" s="1" t="s">
        <v>84</v>
      </c>
      <c r="C410" s="1" t="s">
        <v>24</v>
      </c>
      <c r="D410">
        <v>581000</v>
      </c>
      <c r="E410" s="3">
        <v>719979</v>
      </c>
      <c r="F410">
        <v>73657</v>
      </c>
      <c r="G410">
        <v>71</v>
      </c>
      <c r="H410">
        <v>71584</v>
      </c>
      <c r="I410">
        <v>31840</v>
      </c>
      <c r="J410">
        <v>33459</v>
      </c>
      <c r="K410">
        <v>2017</v>
      </c>
    </row>
    <row r="411" spans="1:11" x14ac:dyDescent="0.3">
      <c r="A411">
        <v>45</v>
      </c>
      <c r="B411" s="1" t="s">
        <v>59</v>
      </c>
      <c r="C411" s="1" t="s">
        <v>26</v>
      </c>
      <c r="D411">
        <v>600300</v>
      </c>
      <c r="E411" s="3">
        <v>486317</v>
      </c>
      <c r="F411">
        <v>73398</v>
      </c>
      <c r="G411">
        <v>65</v>
      </c>
      <c r="H411">
        <v>65697</v>
      </c>
      <c r="I411">
        <v>9338</v>
      </c>
      <c r="J411">
        <v>19380</v>
      </c>
      <c r="K411">
        <v>2017</v>
      </c>
    </row>
    <row r="412" spans="1:11" x14ac:dyDescent="0.3">
      <c r="A412">
        <v>115</v>
      </c>
      <c r="B412" s="1" t="s">
        <v>162</v>
      </c>
      <c r="C412" s="1" t="s">
        <v>90</v>
      </c>
      <c r="D412">
        <v>453500</v>
      </c>
      <c r="E412" s="3">
        <v>256210</v>
      </c>
      <c r="F412">
        <v>73247</v>
      </c>
      <c r="G412">
        <v>59</v>
      </c>
      <c r="H412">
        <v>57413</v>
      </c>
      <c r="I412">
        <v>21892</v>
      </c>
      <c r="J412">
        <v>24867</v>
      </c>
      <c r="K412">
        <v>2017</v>
      </c>
    </row>
    <row r="413" spans="1:11" x14ac:dyDescent="0.3">
      <c r="A413">
        <v>99</v>
      </c>
      <c r="B413" s="1" t="s">
        <v>141</v>
      </c>
      <c r="C413" s="1" t="s">
        <v>99</v>
      </c>
      <c r="D413">
        <v>496200</v>
      </c>
      <c r="E413" s="3">
        <v>256483</v>
      </c>
      <c r="F413">
        <v>73221</v>
      </c>
      <c r="G413">
        <v>62</v>
      </c>
      <c r="H413">
        <v>66891</v>
      </c>
      <c r="I413">
        <v>47024</v>
      </c>
      <c r="J413">
        <v>15717</v>
      </c>
      <c r="K413">
        <v>2017</v>
      </c>
    </row>
    <row r="414" spans="1:11" x14ac:dyDescent="0.3">
      <c r="A414">
        <v>79</v>
      </c>
      <c r="B414" s="1" t="s">
        <v>104</v>
      </c>
      <c r="C414" s="1" t="s">
        <v>55</v>
      </c>
      <c r="D414">
        <v>527300</v>
      </c>
      <c r="E414" s="3">
        <v>577927</v>
      </c>
      <c r="F414">
        <v>72076</v>
      </c>
      <c r="G414">
        <v>69</v>
      </c>
      <c r="H414">
        <v>71825</v>
      </c>
      <c r="I414">
        <v>3437</v>
      </c>
      <c r="J414">
        <v>4909</v>
      </c>
      <c r="K414">
        <v>2017</v>
      </c>
    </row>
    <row r="415" spans="1:11" x14ac:dyDescent="0.3">
      <c r="A415">
        <v>103</v>
      </c>
      <c r="B415" s="1" t="s">
        <v>128</v>
      </c>
      <c r="C415" s="1" t="s">
        <v>24</v>
      </c>
      <c r="D415">
        <v>477500</v>
      </c>
      <c r="E415" s="3">
        <v>382864</v>
      </c>
      <c r="F415">
        <v>71754</v>
      </c>
      <c r="G415">
        <v>64</v>
      </c>
      <c r="H415">
        <v>38695</v>
      </c>
      <c r="I415">
        <v>13623</v>
      </c>
      <c r="J415">
        <v>19229</v>
      </c>
      <c r="K415">
        <v>2017</v>
      </c>
    </row>
    <row r="416" spans="1:11" x14ac:dyDescent="0.3">
      <c r="A416">
        <v>118</v>
      </c>
      <c r="B416" s="1" t="s">
        <v>163</v>
      </c>
      <c r="C416" s="1" t="s">
        <v>90</v>
      </c>
      <c r="D416">
        <v>446500</v>
      </c>
      <c r="E416" s="3">
        <v>640492</v>
      </c>
      <c r="F416">
        <v>71752</v>
      </c>
      <c r="G416">
        <v>58</v>
      </c>
      <c r="H416">
        <v>47448</v>
      </c>
      <c r="I416">
        <v>5225</v>
      </c>
      <c r="J416">
        <v>16379</v>
      </c>
      <c r="K416">
        <v>2017</v>
      </c>
    </row>
    <row r="417" spans="1:11" x14ac:dyDescent="0.3">
      <c r="A417">
        <v>85</v>
      </c>
      <c r="B417" s="1" t="s">
        <v>100</v>
      </c>
      <c r="C417" s="1" t="s">
        <v>62</v>
      </c>
      <c r="D417">
        <v>523400</v>
      </c>
      <c r="E417" s="3">
        <v>616647</v>
      </c>
      <c r="F417">
        <v>71552</v>
      </c>
      <c r="G417">
        <v>63</v>
      </c>
      <c r="H417">
        <v>60487</v>
      </c>
      <c r="I417">
        <v>5402</v>
      </c>
      <c r="J417">
        <v>38980</v>
      </c>
      <c r="K417">
        <v>2017</v>
      </c>
    </row>
    <row r="418" spans="1:11" x14ac:dyDescent="0.3">
      <c r="A418">
        <v>57</v>
      </c>
      <c r="B418" s="1" t="s">
        <v>106</v>
      </c>
      <c r="C418" s="1" t="s">
        <v>47</v>
      </c>
      <c r="D418">
        <v>582500</v>
      </c>
      <c r="E418" s="3">
        <v>650901</v>
      </c>
      <c r="F418">
        <v>71409</v>
      </c>
      <c r="G418">
        <v>67</v>
      </c>
      <c r="H418">
        <v>69427</v>
      </c>
      <c r="I418">
        <v>15932</v>
      </c>
      <c r="J418">
        <v>945</v>
      </c>
      <c r="K418">
        <v>2017</v>
      </c>
    </row>
    <row r="419" spans="1:11" x14ac:dyDescent="0.3">
      <c r="A419">
        <v>53</v>
      </c>
      <c r="B419" s="1" t="s">
        <v>187</v>
      </c>
      <c r="C419" s="1" t="s">
        <v>24</v>
      </c>
      <c r="D419">
        <v>587200</v>
      </c>
      <c r="E419" s="3">
        <v>583646</v>
      </c>
      <c r="F419">
        <v>71168</v>
      </c>
      <c r="G419">
        <v>65</v>
      </c>
      <c r="H419">
        <v>35448</v>
      </c>
      <c r="I419">
        <v>8285</v>
      </c>
      <c r="J419">
        <v>31465</v>
      </c>
      <c r="K419">
        <v>2017</v>
      </c>
    </row>
    <row r="420" spans="1:11" x14ac:dyDescent="0.3">
      <c r="A420">
        <v>91</v>
      </c>
      <c r="B420" s="1" t="s">
        <v>125</v>
      </c>
      <c r="C420" s="1" t="s">
        <v>26</v>
      </c>
      <c r="D420">
        <v>518100</v>
      </c>
      <c r="E420" s="3">
        <v>390521</v>
      </c>
      <c r="F420">
        <v>71027</v>
      </c>
      <c r="G420">
        <v>64</v>
      </c>
      <c r="H420">
        <v>52880</v>
      </c>
      <c r="I420">
        <v>28182</v>
      </c>
      <c r="J420">
        <v>15797</v>
      </c>
      <c r="K420">
        <v>2017</v>
      </c>
    </row>
    <row r="421" spans="1:11" x14ac:dyDescent="0.3">
      <c r="A421">
        <v>78</v>
      </c>
      <c r="B421" s="1" t="s">
        <v>87</v>
      </c>
      <c r="C421" s="1" t="s">
        <v>47</v>
      </c>
      <c r="D421">
        <v>527900</v>
      </c>
      <c r="E421" s="3">
        <v>508607</v>
      </c>
      <c r="F421">
        <v>70649</v>
      </c>
      <c r="G421">
        <v>63</v>
      </c>
      <c r="H421">
        <v>39542</v>
      </c>
      <c r="I421">
        <v>38175</v>
      </c>
      <c r="J421">
        <v>12378</v>
      </c>
      <c r="K421">
        <v>2017</v>
      </c>
    </row>
    <row r="422" spans="1:11" x14ac:dyDescent="0.3">
      <c r="A422">
        <v>65</v>
      </c>
      <c r="B422" s="1" t="s">
        <v>85</v>
      </c>
      <c r="C422" s="1" t="s">
        <v>12</v>
      </c>
      <c r="D422">
        <v>562100</v>
      </c>
      <c r="E422" s="3">
        <v>724804</v>
      </c>
      <c r="F422">
        <v>70246</v>
      </c>
      <c r="G422">
        <v>72</v>
      </c>
      <c r="H422">
        <v>53948</v>
      </c>
      <c r="I422">
        <v>32366</v>
      </c>
      <c r="J422">
        <v>8882</v>
      </c>
      <c r="K422">
        <v>2017</v>
      </c>
    </row>
    <row r="423" spans="1:11" x14ac:dyDescent="0.3">
      <c r="A423">
        <v>133</v>
      </c>
      <c r="B423" s="1" t="s">
        <v>161</v>
      </c>
      <c r="C423" s="1" t="s">
        <v>90</v>
      </c>
      <c r="D423">
        <v>408100</v>
      </c>
      <c r="E423" s="3">
        <v>203890</v>
      </c>
      <c r="F423">
        <v>70151</v>
      </c>
      <c r="G423">
        <v>54</v>
      </c>
      <c r="H423">
        <v>67328</v>
      </c>
      <c r="I423">
        <v>38871</v>
      </c>
      <c r="J423">
        <v>12291</v>
      </c>
      <c r="K423">
        <v>2017</v>
      </c>
    </row>
    <row r="424" spans="1:11" x14ac:dyDescent="0.3">
      <c r="A424">
        <v>88</v>
      </c>
      <c r="B424" s="1" t="s">
        <v>123</v>
      </c>
      <c r="C424" s="1" t="s">
        <v>24</v>
      </c>
      <c r="D424">
        <v>522500</v>
      </c>
      <c r="E424" s="3">
        <v>574624</v>
      </c>
      <c r="F424">
        <v>70138</v>
      </c>
      <c r="G424">
        <v>69</v>
      </c>
      <c r="H424">
        <v>43831</v>
      </c>
      <c r="I424">
        <v>31555</v>
      </c>
      <c r="J424">
        <v>8080</v>
      </c>
      <c r="K424">
        <v>2017</v>
      </c>
    </row>
    <row r="425" spans="1:11" x14ac:dyDescent="0.3">
      <c r="A425">
        <v>55</v>
      </c>
      <c r="B425" s="1" t="s">
        <v>65</v>
      </c>
      <c r="C425" s="1" t="s">
        <v>55</v>
      </c>
      <c r="D425">
        <v>583800</v>
      </c>
      <c r="E425" s="3">
        <v>749254</v>
      </c>
      <c r="F425">
        <v>70054</v>
      </c>
      <c r="G425">
        <v>73</v>
      </c>
      <c r="H425">
        <v>39183</v>
      </c>
      <c r="I425">
        <v>24661</v>
      </c>
      <c r="J425">
        <v>13629</v>
      </c>
      <c r="K425">
        <v>2017</v>
      </c>
    </row>
    <row r="426" spans="1:11" x14ac:dyDescent="0.3">
      <c r="A426">
        <v>114</v>
      </c>
      <c r="B426" s="1" t="s">
        <v>149</v>
      </c>
      <c r="C426" s="1" t="s">
        <v>39</v>
      </c>
      <c r="D426">
        <v>454500</v>
      </c>
      <c r="E426" s="3">
        <v>196235</v>
      </c>
      <c r="F426">
        <v>69741</v>
      </c>
      <c r="G426">
        <v>59</v>
      </c>
      <c r="H426">
        <v>78161</v>
      </c>
      <c r="I426">
        <v>100000</v>
      </c>
      <c r="J426">
        <v>40666</v>
      </c>
      <c r="K426">
        <v>2017</v>
      </c>
    </row>
    <row r="427" spans="1:11" x14ac:dyDescent="0.3">
      <c r="A427">
        <v>140</v>
      </c>
      <c r="B427" s="1" t="s">
        <v>157</v>
      </c>
      <c r="C427" s="1" t="s">
        <v>90</v>
      </c>
      <c r="D427">
        <v>379500</v>
      </c>
      <c r="E427" s="3">
        <v>458865</v>
      </c>
      <c r="F427">
        <v>68573</v>
      </c>
      <c r="G427">
        <v>49</v>
      </c>
      <c r="H427">
        <v>0</v>
      </c>
      <c r="I427">
        <v>11685</v>
      </c>
      <c r="J427">
        <v>15016</v>
      </c>
      <c r="K427">
        <v>2017</v>
      </c>
    </row>
    <row r="428" spans="1:11" x14ac:dyDescent="0.3">
      <c r="A428">
        <v>111</v>
      </c>
      <c r="B428" s="1" t="s">
        <v>181</v>
      </c>
      <c r="C428" s="1" t="s">
        <v>90</v>
      </c>
      <c r="D428">
        <v>457400</v>
      </c>
      <c r="E428" s="3">
        <v>515529</v>
      </c>
      <c r="F428">
        <v>68204</v>
      </c>
      <c r="G428">
        <v>57</v>
      </c>
      <c r="H428">
        <v>79044</v>
      </c>
      <c r="I428">
        <v>9204</v>
      </c>
      <c r="J428">
        <v>20061</v>
      </c>
      <c r="K428">
        <v>2017</v>
      </c>
    </row>
    <row r="429" spans="1:11" x14ac:dyDescent="0.3">
      <c r="A429">
        <v>138</v>
      </c>
      <c r="B429" s="1" t="s">
        <v>135</v>
      </c>
      <c r="C429" s="1" t="s">
        <v>90</v>
      </c>
      <c r="D429">
        <v>387500</v>
      </c>
      <c r="E429" s="3">
        <v>200905</v>
      </c>
      <c r="F429">
        <v>67249</v>
      </c>
      <c r="G429">
        <v>53</v>
      </c>
      <c r="H429">
        <v>51103</v>
      </c>
      <c r="I429">
        <v>22569</v>
      </c>
      <c r="J429">
        <v>20541</v>
      </c>
      <c r="K429">
        <v>2017</v>
      </c>
    </row>
    <row r="430" spans="1:11" x14ac:dyDescent="0.3">
      <c r="A430">
        <v>50</v>
      </c>
      <c r="B430" s="1" t="s">
        <v>182</v>
      </c>
      <c r="C430" s="1" t="s">
        <v>26</v>
      </c>
      <c r="D430">
        <v>595600</v>
      </c>
      <c r="E430" s="3">
        <v>485350</v>
      </c>
      <c r="F430">
        <v>67145</v>
      </c>
      <c r="G430">
        <v>60</v>
      </c>
      <c r="H430">
        <v>83177</v>
      </c>
      <c r="I430">
        <v>28639</v>
      </c>
      <c r="J430">
        <v>20801</v>
      </c>
      <c r="K430">
        <v>2017</v>
      </c>
    </row>
    <row r="431" spans="1:11" x14ac:dyDescent="0.3">
      <c r="A431">
        <v>90</v>
      </c>
      <c r="B431" s="1" t="s">
        <v>116</v>
      </c>
      <c r="C431" s="1" t="s">
        <v>47</v>
      </c>
      <c r="D431">
        <v>518200</v>
      </c>
      <c r="E431" s="3">
        <v>525138</v>
      </c>
      <c r="F431">
        <v>66395</v>
      </c>
      <c r="G431">
        <v>68</v>
      </c>
      <c r="H431">
        <v>31053</v>
      </c>
      <c r="I431">
        <v>39241</v>
      </c>
      <c r="J431">
        <v>0</v>
      </c>
      <c r="K431">
        <v>2017</v>
      </c>
    </row>
    <row r="432" spans="1:11" x14ac:dyDescent="0.3">
      <c r="A432">
        <v>112</v>
      </c>
      <c r="B432" s="1" t="s">
        <v>145</v>
      </c>
      <c r="C432" s="1" t="s">
        <v>90</v>
      </c>
      <c r="D432">
        <v>455300</v>
      </c>
      <c r="E432" s="3">
        <v>299599</v>
      </c>
      <c r="F432">
        <v>66309</v>
      </c>
      <c r="G432">
        <v>56</v>
      </c>
      <c r="H432">
        <v>68783</v>
      </c>
      <c r="I432">
        <v>53081</v>
      </c>
      <c r="J432">
        <v>13922</v>
      </c>
      <c r="K432">
        <v>2017</v>
      </c>
    </row>
    <row r="433" spans="1:11" x14ac:dyDescent="0.3">
      <c r="A433">
        <v>134</v>
      </c>
      <c r="B433" s="1" t="s">
        <v>172</v>
      </c>
      <c r="C433" s="1" t="s">
        <v>90</v>
      </c>
      <c r="D433">
        <v>403200</v>
      </c>
      <c r="E433" s="3">
        <v>187211</v>
      </c>
      <c r="F433">
        <v>64777</v>
      </c>
      <c r="G433">
        <v>54</v>
      </c>
      <c r="H433">
        <v>49277</v>
      </c>
      <c r="I433">
        <v>29933</v>
      </c>
      <c r="J433">
        <v>25916</v>
      </c>
      <c r="K433">
        <v>2017</v>
      </c>
    </row>
    <row r="434" spans="1:11" x14ac:dyDescent="0.3">
      <c r="A434">
        <v>153</v>
      </c>
      <c r="B434" s="1" t="s">
        <v>166</v>
      </c>
      <c r="C434" s="1" t="s">
        <v>90</v>
      </c>
      <c r="D434">
        <v>334900</v>
      </c>
      <c r="E434" s="3">
        <v>273223</v>
      </c>
      <c r="F434">
        <v>64697</v>
      </c>
      <c r="G434">
        <v>58</v>
      </c>
      <c r="H434">
        <v>59251</v>
      </c>
      <c r="I434">
        <v>42270</v>
      </c>
      <c r="J434">
        <v>14222</v>
      </c>
      <c r="K434">
        <v>2017</v>
      </c>
    </row>
    <row r="435" spans="1:11" x14ac:dyDescent="0.3">
      <c r="A435">
        <v>121</v>
      </c>
      <c r="B435" s="1" t="s">
        <v>147</v>
      </c>
      <c r="C435" s="1" t="s">
        <v>62</v>
      </c>
      <c r="D435">
        <v>437600</v>
      </c>
      <c r="E435" s="3">
        <v>481405</v>
      </c>
      <c r="F435">
        <v>62554</v>
      </c>
      <c r="G435">
        <v>66</v>
      </c>
      <c r="H435">
        <v>30126</v>
      </c>
      <c r="I435">
        <v>9962</v>
      </c>
      <c r="J435">
        <v>5745</v>
      </c>
      <c r="K435">
        <v>2017</v>
      </c>
    </row>
    <row r="436" spans="1:11" x14ac:dyDescent="0.3">
      <c r="A436">
        <v>129</v>
      </c>
      <c r="B436" s="1" t="s">
        <v>165</v>
      </c>
      <c r="C436" s="1" t="s">
        <v>39</v>
      </c>
      <c r="D436">
        <v>416800</v>
      </c>
      <c r="E436" s="3">
        <v>321668</v>
      </c>
      <c r="F436">
        <v>62477</v>
      </c>
      <c r="G436">
        <v>60</v>
      </c>
      <c r="H436">
        <v>96221</v>
      </c>
      <c r="I436">
        <v>46049</v>
      </c>
      <c r="J436">
        <v>14668</v>
      </c>
      <c r="K436">
        <v>2017</v>
      </c>
    </row>
    <row r="437" spans="1:11" x14ac:dyDescent="0.3">
      <c r="A437">
        <v>116</v>
      </c>
      <c r="B437" s="1" t="s">
        <v>105</v>
      </c>
      <c r="C437" s="1" t="s">
        <v>90</v>
      </c>
      <c r="D437">
        <v>451400</v>
      </c>
      <c r="E437" s="3">
        <v>340185</v>
      </c>
      <c r="F437">
        <v>62288</v>
      </c>
      <c r="G437">
        <v>55</v>
      </c>
      <c r="H437">
        <v>70126</v>
      </c>
      <c r="I437">
        <v>29780</v>
      </c>
      <c r="J437">
        <v>16845</v>
      </c>
      <c r="K437">
        <v>2017</v>
      </c>
    </row>
    <row r="438" spans="1:11" x14ac:dyDescent="0.3">
      <c r="A438">
        <v>104</v>
      </c>
      <c r="B438" s="1" t="s">
        <v>155</v>
      </c>
      <c r="C438" s="1" t="s">
        <v>24</v>
      </c>
      <c r="D438">
        <v>473500</v>
      </c>
      <c r="E438" s="3">
        <v>529036</v>
      </c>
      <c r="F438">
        <v>61933</v>
      </c>
      <c r="G438">
        <v>62</v>
      </c>
      <c r="H438">
        <v>42858</v>
      </c>
      <c r="I438">
        <v>15348</v>
      </c>
      <c r="J438">
        <v>24635</v>
      </c>
      <c r="K438">
        <v>2017</v>
      </c>
    </row>
    <row r="439" spans="1:11" x14ac:dyDescent="0.3">
      <c r="A439">
        <v>135</v>
      </c>
      <c r="B439" s="1" t="s">
        <v>164</v>
      </c>
      <c r="C439" s="1" t="s">
        <v>90</v>
      </c>
      <c r="D439">
        <v>402800</v>
      </c>
      <c r="E439" s="3">
        <v>86556</v>
      </c>
      <c r="F439">
        <v>61657</v>
      </c>
      <c r="G439">
        <v>55</v>
      </c>
      <c r="H439">
        <v>55246</v>
      </c>
      <c r="I439">
        <v>27286</v>
      </c>
      <c r="J439">
        <v>29845</v>
      </c>
      <c r="K439">
        <v>2017</v>
      </c>
    </row>
    <row r="440" spans="1:11" x14ac:dyDescent="0.3">
      <c r="A440">
        <v>106</v>
      </c>
      <c r="B440" s="1" t="s">
        <v>143</v>
      </c>
      <c r="C440" s="1" t="s">
        <v>90</v>
      </c>
      <c r="D440">
        <v>470900</v>
      </c>
      <c r="E440" s="3">
        <v>196936</v>
      </c>
      <c r="F440">
        <v>61105</v>
      </c>
      <c r="G440">
        <v>47</v>
      </c>
      <c r="H440">
        <v>48416</v>
      </c>
      <c r="I440">
        <v>34966</v>
      </c>
      <c r="J440">
        <v>15312</v>
      </c>
      <c r="K440">
        <v>2017</v>
      </c>
    </row>
    <row r="441" spans="1:11" x14ac:dyDescent="0.3">
      <c r="A441">
        <v>117</v>
      </c>
      <c r="B441" s="1" t="s">
        <v>132</v>
      </c>
      <c r="C441" s="1" t="s">
        <v>24</v>
      </c>
      <c r="D441">
        <v>449700</v>
      </c>
      <c r="E441" s="3">
        <v>589443</v>
      </c>
      <c r="F441">
        <v>60762</v>
      </c>
      <c r="G441">
        <v>62</v>
      </c>
      <c r="H441">
        <v>43837</v>
      </c>
      <c r="I441">
        <v>23821</v>
      </c>
      <c r="J441">
        <v>23092</v>
      </c>
      <c r="K441">
        <v>2017</v>
      </c>
    </row>
    <row r="442" spans="1:11" x14ac:dyDescent="0.3">
      <c r="A442">
        <v>77</v>
      </c>
      <c r="B442" s="1" t="s">
        <v>80</v>
      </c>
      <c r="C442" s="1" t="s">
        <v>47</v>
      </c>
      <c r="D442">
        <v>529300</v>
      </c>
      <c r="E442" s="3">
        <v>653506</v>
      </c>
      <c r="F442">
        <v>60102</v>
      </c>
      <c r="G442">
        <v>68</v>
      </c>
      <c r="H442">
        <v>38856</v>
      </c>
      <c r="I442">
        <v>29592</v>
      </c>
      <c r="J442">
        <v>9283</v>
      </c>
      <c r="K442">
        <v>2017</v>
      </c>
    </row>
    <row r="443" spans="1:11" x14ac:dyDescent="0.3">
      <c r="A443">
        <v>137</v>
      </c>
      <c r="B443" s="1" t="s">
        <v>169</v>
      </c>
      <c r="C443" s="1" t="s">
        <v>90</v>
      </c>
      <c r="D443">
        <v>393600</v>
      </c>
      <c r="E443" s="3">
        <v>234136</v>
      </c>
      <c r="F443">
        <v>59225</v>
      </c>
      <c r="G443">
        <v>48</v>
      </c>
      <c r="H443">
        <v>24663</v>
      </c>
      <c r="I443">
        <v>25787</v>
      </c>
      <c r="J443">
        <v>11540</v>
      </c>
      <c r="K443">
        <v>2017</v>
      </c>
    </row>
    <row r="444" spans="1:11" x14ac:dyDescent="0.3">
      <c r="A444">
        <v>107</v>
      </c>
      <c r="B444" s="1" t="s">
        <v>153</v>
      </c>
      <c r="C444" s="1" t="s">
        <v>90</v>
      </c>
      <c r="D444">
        <v>469500</v>
      </c>
      <c r="E444" s="3">
        <v>301644</v>
      </c>
      <c r="F444">
        <v>58738</v>
      </c>
      <c r="G444">
        <v>51</v>
      </c>
      <c r="H444">
        <v>65384</v>
      </c>
      <c r="I444">
        <v>28195</v>
      </c>
      <c r="J444">
        <v>11050</v>
      </c>
      <c r="K444">
        <v>2017</v>
      </c>
    </row>
    <row r="445" spans="1:11" x14ac:dyDescent="0.3">
      <c r="A445">
        <v>151</v>
      </c>
      <c r="B445" s="1" t="s">
        <v>174</v>
      </c>
      <c r="C445" s="1" t="s">
        <v>90</v>
      </c>
      <c r="D445">
        <v>347100</v>
      </c>
      <c r="E445" s="3">
        <v>197110</v>
      </c>
      <c r="F445">
        <v>58719</v>
      </c>
      <c r="G445">
        <v>57</v>
      </c>
      <c r="H445">
        <v>88393</v>
      </c>
      <c r="I445">
        <v>30159</v>
      </c>
      <c r="J445">
        <v>98043</v>
      </c>
      <c r="K445">
        <v>2017</v>
      </c>
    </row>
    <row r="446" spans="1:11" x14ac:dyDescent="0.3">
      <c r="A446">
        <v>146</v>
      </c>
      <c r="B446" s="1" t="s">
        <v>156</v>
      </c>
      <c r="C446" s="1" t="s">
        <v>24</v>
      </c>
      <c r="D446">
        <v>359300</v>
      </c>
      <c r="E446" s="3">
        <v>316279</v>
      </c>
      <c r="F446">
        <v>58078</v>
      </c>
      <c r="G446">
        <v>56</v>
      </c>
      <c r="H446">
        <v>37898</v>
      </c>
      <c r="I446">
        <v>12424</v>
      </c>
      <c r="J446">
        <v>12226</v>
      </c>
      <c r="K446">
        <v>2017</v>
      </c>
    </row>
    <row r="447" spans="1:11" x14ac:dyDescent="0.3">
      <c r="A447">
        <v>144</v>
      </c>
      <c r="B447" s="1" t="s">
        <v>167</v>
      </c>
      <c r="C447" s="1" t="s">
        <v>90</v>
      </c>
      <c r="D447">
        <v>364400</v>
      </c>
      <c r="E447" s="3">
        <v>163467</v>
      </c>
      <c r="F447">
        <v>56689</v>
      </c>
      <c r="G447">
        <v>58</v>
      </c>
      <c r="H447">
        <v>28742</v>
      </c>
      <c r="I447">
        <v>24906</v>
      </c>
      <c r="J447">
        <v>14480</v>
      </c>
      <c r="K447">
        <v>2017</v>
      </c>
    </row>
    <row r="448" spans="1:11" x14ac:dyDescent="0.3">
      <c r="A448">
        <v>128</v>
      </c>
      <c r="B448" s="1" t="s">
        <v>171</v>
      </c>
      <c r="C448" s="1" t="s">
        <v>90</v>
      </c>
      <c r="D448">
        <v>418000</v>
      </c>
      <c r="E448" s="3">
        <v>322354</v>
      </c>
      <c r="F448">
        <v>56177</v>
      </c>
      <c r="G448">
        <v>49</v>
      </c>
      <c r="H448">
        <v>68015</v>
      </c>
      <c r="I448">
        <v>24012</v>
      </c>
      <c r="J448">
        <v>28012</v>
      </c>
      <c r="K448">
        <v>2017</v>
      </c>
    </row>
    <row r="449" spans="1:11" x14ac:dyDescent="0.3">
      <c r="A449">
        <v>131</v>
      </c>
      <c r="B449" s="1" t="s">
        <v>134</v>
      </c>
      <c r="C449" s="1" t="s">
        <v>90</v>
      </c>
      <c r="D449">
        <v>412000</v>
      </c>
      <c r="E449" s="3">
        <v>356659</v>
      </c>
      <c r="F449">
        <v>54246</v>
      </c>
      <c r="G449">
        <v>56</v>
      </c>
      <c r="H449">
        <v>64265</v>
      </c>
      <c r="I449">
        <v>30656</v>
      </c>
      <c r="J449">
        <v>5457</v>
      </c>
      <c r="K449">
        <v>2017</v>
      </c>
    </row>
    <row r="450" spans="1:11" x14ac:dyDescent="0.3">
      <c r="A450">
        <v>148</v>
      </c>
      <c r="B450" s="1" t="s">
        <v>136</v>
      </c>
      <c r="C450" s="1" t="s">
        <v>90</v>
      </c>
      <c r="D450">
        <v>353300</v>
      </c>
      <c r="E450" s="3">
        <v>63633</v>
      </c>
      <c r="F450">
        <v>54150</v>
      </c>
      <c r="G450">
        <v>54</v>
      </c>
      <c r="H450">
        <v>50571</v>
      </c>
      <c r="I450">
        <v>31805</v>
      </c>
      <c r="J450">
        <v>8388</v>
      </c>
      <c r="K450">
        <v>2017</v>
      </c>
    </row>
    <row r="451" spans="1:11" x14ac:dyDescent="0.3">
      <c r="A451">
        <v>113</v>
      </c>
      <c r="B451" s="1" t="s">
        <v>114</v>
      </c>
      <c r="C451" s="1" t="s">
        <v>90</v>
      </c>
      <c r="D451">
        <v>455000</v>
      </c>
      <c r="E451" s="3">
        <v>125246</v>
      </c>
      <c r="F451">
        <v>54062</v>
      </c>
      <c r="G451">
        <v>50</v>
      </c>
      <c r="H451">
        <v>73041</v>
      </c>
      <c r="I451">
        <v>38449</v>
      </c>
      <c r="J451">
        <v>38646</v>
      </c>
      <c r="K451">
        <v>2017</v>
      </c>
    </row>
    <row r="452" spans="1:11" x14ac:dyDescent="0.3">
      <c r="A452">
        <v>102</v>
      </c>
      <c r="B452" s="1" t="s">
        <v>127</v>
      </c>
      <c r="C452" s="1" t="s">
        <v>24</v>
      </c>
      <c r="D452">
        <v>480500</v>
      </c>
      <c r="E452" s="3">
        <v>538424</v>
      </c>
      <c r="F452">
        <v>53916</v>
      </c>
      <c r="G452">
        <v>65</v>
      </c>
      <c r="H452">
        <v>44008</v>
      </c>
      <c r="I452">
        <v>5929</v>
      </c>
      <c r="J452">
        <v>18678</v>
      </c>
      <c r="K452">
        <v>2017</v>
      </c>
    </row>
    <row r="453" spans="1:11" x14ac:dyDescent="0.3">
      <c r="A453">
        <v>119</v>
      </c>
      <c r="B453" s="1" t="s">
        <v>142</v>
      </c>
      <c r="C453" s="1" t="s">
        <v>90</v>
      </c>
      <c r="D453">
        <v>446000</v>
      </c>
      <c r="E453" s="3">
        <v>181334</v>
      </c>
      <c r="F453">
        <v>53687</v>
      </c>
      <c r="G453">
        <v>58</v>
      </c>
      <c r="H453">
        <v>62111</v>
      </c>
      <c r="I453">
        <v>37306</v>
      </c>
      <c r="J453">
        <v>35635</v>
      </c>
      <c r="K453">
        <v>2017</v>
      </c>
    </row>
    <row r="454" spans="1:11" x14ac:dyDescent="0.3">
      <c r="A454">
        <v>124</v>
      </c>
      <c r="B454" s="1" t="s">
        <v>159</v>
      </c>
      <c r="C454" s="1" t="s">
        <v>90</v>
      </c>
      <c r="D454">
        <v>429100</v>
      </c>
      <c r="E454" s="3">
        <v>432424</v>
      </c>
      <c r="F454">
        <v>51661</v>
      </c>
      <c r="G454">
        <v>56</v>
      </c>
      <c r="H454">
        <v>66088</v>
      </c>
      <c r="I454">
        <v>14420</v>
      </c>
      <c r="J454">
        <v>17148</v>
      </c>
      <c r="K454">
        <v>2017</v>
      </c>
    </row>
    <row r="455" spans="1:11" x14ac:dyDescent="0.3">
      <c r="A455">
        <v>109</v>
      </c>
      <c r="B455" s="1" t="s">
        <v>115</v>
      </c>
      <c r="C455" s="1" t="s">
        <v>47</v>
      </c>
      <c r="D455">
        <v>464400</v>
      </c>
      <c r="E455" s="3">
        <v>532505</v>
      </c>
      <c r="F455">
        <v>49901</v>
      </c>
      <c r="G455">
        <v>68</v>
      </c>
      <c r="H455">
        <v>57957</v>
      </c>
      <c r="I455">
        <v>24021</v>
      </c>
      <c r="J455">
        <v>8586</v>
      </c>
      <c r="K455">
        <v>2017</v>
      </c>
    </row>
    <row r="456" spans="1:11" x14ac:dyDescent="0.3">
      <c r="A456">
        <v>149</v>
      </c>
      <c r="B456" s="1" t="s">
        <v>170</v>
      </c>
      <c r="C456" s="1" t="s">
        <v>90</v>
      </c>
      <c r="D456">
        <v>350700</v>
      </c>
      <c r="E456" s="3">
        <v>130722</v>
      </c>
      <c r="F456">
        <v>49128</v>
      </c>
      <c r="G456">
        <v>53</v>
      </c>
      <c r="H456">
        <v>52957</v>
      </c>
      <c r="I456">
        <v>31598</v>
      </c>
      <c r="J456">
        <v>23893</v>
      </c>
      <c r="K456">
        <v>2017</v>
      </c>
    </row>
    <row r="457" spans="1:11" x14ac:dyDescent="0.3">
      <c r="A457">
        <v>84</v>
      </c>
      <c r="B457" s="1" t="s">
        <v>112</v>
      </c>
      <c r="C457" s="1" t="s">
        <v>24</v>
      </c>
      <c r="D457">
        <v>523500</v>
      </c>
      <c r="E457" s="3">
        <v>469388</v>
      </c>
      <c r="F457">
        <v>48111</v>
      </c>
      <c r="G457">
        <v>65</v>
      </c>
      <c r="H457">
        <v>62007</v>
      </c>
      <c r="I457">
        <v>3843</v>
      </c>
      <c r="J457">
        <v>18902</v>
      </c>
      <c r="K457">
        <v>2017</v>
      </c>
    </row>
    <row r="458" spans="1:11" x14ac:dyDescent="0.3">
      <c r="A458">
        <v>122</v>
      </c>
      <c r="B458" s="1" t="s">
        <v>137</v>
      </c>
      <c r="C458" s="1" t="s">
        <v>99</v>
      </c>
      <c r="D458">
        <v>431500</v>
      </c>
      <c r="E458" s="3">
        <v>423474</v>
      </c>
      <c r="F458">
        <v>46839</v>
      </c>
      <c r="G458">
        <v>60</v>
      </c>
      <c r="H458">
        <v>71400</v>
      </c>
      <c r="I458">
        <v>27627</v>
      </c>
      <c r="J458">
        <v>19863</v>
      </c>
      <c r="K458">
        <v>2017</v>
      </c>
    </row>
    <row r="459" spans="1:11" x14ac:dyDescent="0.3">
      <c r="A459">
        <v>110</v>
      </c>
      <c r="B459" s="1" t="s">
        <v>129</v>
      </c>
      <c r="C459" s="1" t="s">
        <v>99</v>
      </c>
      <c r="D459">
        <v>460800</v>
      </c>
      <c r="E459" s="3">
        <v>313606</v>
      </c>
      <c r="F459">
        <v>45644</v>
      </c>
      <c r="G459">
        <v>63</v>
      </c>
      <c r="H459">
        <v>72671</v>
      </c>
      <c r="I459">
        <v>20554</v>
      </c>
      <c r="J459">
        <v>26646</v>
      </c>
      <c r="K459">
        <v>2017</v>
      </c>
    </row>
    <row r="460" spans="1:11" x14ac:dyDescent="0.3">
      <c r="A460">
        <v>93</v>
      </c>
      <c r="B460" s="1" t="s">
        <v>179</v>
      </c>
      <c r="C460" s="1" t="s">
        <v>90</v>
      </c>
      <c r="D460">
        <v>515100</v>
      </c>
      <c r="E460" s="3">
        <v>12104</v>
      </c>
      <c r="F460">
        <v>44776</v>
      </c>
      <c r="G460">
        <v>51</v>
      </c>
      <c r="H460">
        <v>91474</v>
      </c>
      <c r="I460">
        <v>34798</v>
      </c>
      <c r="J460">
        <v>60824</v>
      </c>
      <c r="K460">
        <v>2017</v>
      </c>
    </row>
    <row r="461" spans="1:11" x14ac:dyDescent="0.3">
      <c r="A461">
        <v>108</v>
      </c>
      <c r="B461" s="1" t="s">
        <v>130</v>
      </c>
      <c r="C461" s="1" t="s">
        <v>24</v>
      </c>
      <c r="D461">
        <v>469200</v>
      </c>
      <c r="E461" s="3">
        <v>618396</v>
      </c>
      <c r="F461">
        <v>44180</v>
      </c>
      <c r="G461">
        <v>66</v>
      </c>
      <c r="H461">
        <v>37877</v>
      </c>
      <c r="I461">
        <v>46206</v>
      </c>
      <c r="J461">
        <v>10502</v>
      </c>
      <c r="K461">
        <v>2017</v>
      </c>
    </row>
    <row r="462" spans="1:11" x14ac:dyDescent="0.3">
      <c r="A462">
        <v>80</v>
      </c>
      <c r="B462" s="1" t="s">
        <v>101</v>
      </c>
      <c r="C462" s="1" t="s">
        <v>99</v>
      </c>
      <c r="D462">
        <v>526900</v>
      </c>
      <c r="E462" s="3">
        <v>388549</v>
      </c>
      <c r="F462">
        <v>41767</v>
      </c>
      <c r="G462">
        <v>59</v>
      </c>
      <c r="H462">
        <v>35733</v>
      </c>
      <c r="I462">
        <v>37639</v>
      </c>
      <c r="J462">
        <v>26781</v>
      </c>
      <c r="K462">
        <v>2017</v>
      </c>
    </row>
    <row r="463" spans="1:11" x14ac:dyDescent="0.3">
      <c r="A463">
        <v>145</v>
      </c>
      <c r="B463" s="1" t="s">
        <v>139</v>
      </c>
      <c r="C463" s="1" t="s">
        <v>26</v>
      </c>
      <c r="D463">
        <v>360300</v>
      </c>
      <c r="E463" s="3">
        <v>197037</v>
      </c>
      <c r="F463">
        <v>39765</v>
      </c>
      <c r="G463">
        <v>55</v>
      </c>
      <c r="H463">
        <v>4614</v>
      </c>
      <c r="I463">
        <v>58372</v>
      </c>
      <c r="J463">
        <v>21510</v>
      </c>
      <c r="K463">
        <v>2017</v>
      </c>
    </row>
    <row r="464" spans="1:11" x14ac:dyDescent="0.3">
      <c r="A464">
        <v>154</v>
      </c>
      <c r="B464" s="1" t="s">
        <v>177</v>
      </c>
      <c r="C464" s="1" t="s">
        <v>90</v>
      </c>
      <c r="D464">
        <v>290500</v>
      </c>
      <c r="E464" s="3">
        <v>48976</v>
      </c>
      <c r="F464">
        <v>39104</v>
      </c>
      <c r="G464">
        <v>52</v>
      </c>
      <c r="H464">
        <v>9100</v>
      </c>
      <c r="I464">
        <v>24393</v>
      </c>
      <c r="J464">
        <v>18123</v>
      </c>
      <c r="K464">
        <v>2017</v>
      </c>
    </row>
    <row r="465" spans="1:11" x14ac:dyDescent="0.3">
      <c r="A465">
        <v>147</v>
      </c>
      <c r="B465" s="1" t="s">
        <v>180</v>
      </c>
      <c r="C465" s="1" t="s">
        <v>90</v>
      </c>
      <c r="D465">
        <v>359100</v>
      </c>
      <c r="E465" s="3">
        <v>212345</v>
      </c>
      <c r="F465">
        <v>37336</v>
      </c>
      <c r="G465">
        <v>52</v>
      </c>
      <c r="H465">
        <v>22341</v>
      </c>
      <c r="I465">
        <v>34087</v>
      </c>
      <c r="J465">
        <v>25154</v>
      </c>
      <c r="K465">
        <v>2017</v>
      </c>
    </row>
    <row r="466" spans="1:11" x14ac:dyDescent="0.3">
      <c r="A466">
        <v>141</v>
      </c>
      <c r="B466" s="1" t="s">
        <v>173</v>
      </c>
      <c r="C466" s="1" t="s">
        <v>99</v>
      </c>
      <c r="D466">
        <v>379400</v>
      </c>
      <c r="E466" s="3">
        <v>214606</v>
      </c>
      <c r="F466">
        <v>36108</v>
      </c>
      <c r="G466">
        <v>53</v>
      </c>
      <c r="H466">
        <v>16131</v>
      </c>
      <c r="I466">
        <v>37213</v>
      </c>
      <c r="J466">
        <v>13172</v>
      </c>
      <c r="K466">
        <v>2017</v>
      </c>
    </row>
    <row r="467" spans="1:11" x14ac:dyDescent="0.3">
      <c r="A467">
        <v>125</v>
      </c>
      <c r="B467" s="1" t="s">
        <v>150</v>
      </c>
      <c r="C467" s="1" t="s">
        <v>62</v>
      </c>
      <c r="D467">
        <v>428600</v>
      </c>
      <c r="E467" s="3">
        <v>508141</v>
      </c>
      <c r="F467">
        <v>35429</v>
      </c>
      <c r="G467">
        <v>66</v>
      </c>
      <c r="H467">
        <v>47005</v>
      </c>
      <c r="I467">
        <v>6444</v>
      </c>
      <c r="J467">
        <v>54203</v>
      </c>
      <c r="K467">
        <v>2017</v>
      </c>
    </row>
    <row r="468" spans="1:11" x14ac:dyDescent="0.3">
      <c r="A468">
        <v>136</v>
      </c>
      <c r="B468" s="1" t="s">
        <v>151</v>
      </c>
      <c r="C468" s="1" t="s">
        <v>90</v>
      </c>
      <c r="D468">
        <v>397000</v>
      </c>
      <c r="E468" s="3">
        <v>124784</v>
      </c>
      <c r="F468">
        <v>31825</v>
      </c>
      <c r="G468">
        <v>56</v>
      </c>
      <c r="H468">
        <v>70933</v>
      </c>
      <c r="I468">
        <v>34265</v>
      </c>
      <c r="J468">
        <v>15660</v>
      </c>
      <c r="K468">
        <v>2017</v>
      </c>
    </row>
    <row r="469" spans="1:11" x14ac:dyDescent="0.3">
      <c r="A469">
        <v>143</v>
      </c>
      <c r="B469" s="1" t="s">
        <v>175</v>
      </c>
      <c r="C469" s="1" t="s">
        <v>90</v>
      </c>
      <c r="D469">
        <v>365700</v>
      </c>
      <c r="E469" s="3">
        <v>230433</v>
      </c>
      <c r="F469">
        <v>27028</v>
      </c>
      <c r="G469">
        <v>53</v>
      </c>
      <c r="H469">
        <v>64712</v>
      </c>
      <c r="I469">
        <v>24813</v>
      </c>
      <c r="J469">
        <v>13123</v>
      </c>
      <c r="K469">
        <v>2017</v>
      </c>
    </row>
    <row r="470" spans="1:11" x14ac:dyDescent="0.3">
      <c r="A470">
        <v>150</v>
      </c>
      <c r="B470" s="1" t="s">
        <v>178</v>
      </c>
      <c r="C470" s="1" t="s">
        <v>90</v>
      </c>
      <c r="D470">
        <v>349500</v>
      </c>
      <c r="E470" s="3">
        <v>163273</v>
      </c>
      <c r="F470">
        <v>26815</v>
      </c>
      <c r="G470">
        <v>54</v>
      </c>
      <c r="H470">
        <v>57794</v>
      </c>
      <c r="I470">
        <v>23494</v>
      </c>
      <c r="J470">
        <v>20604</v>
      </c>
      <c r="K470">
        <v>2017</v>
      </c>
    </row>
    <row r="471" spans="1:11" x14ac:dyDescent="0.3">
      <c r="A471">
        <v>152</v>
      </c>
      <c r="B471" s="1" t="s">
        <v>176</v>
      </c>
      <c r="C471" s="1" t="s">
        <v>24</v>
      </c>
      <c r="D471">
        <v>346200</v>
      </c>
      <c r="E471" s="3">
        <v>415420</v>
      </c>
      <c r="F471">
        <v>24594</v>
      </c>
      <c r="G471">
        <v>62</v>
      </c>
      <c r="H471">
        <v>12387</v>
      </c>
      <c r="I471">
        <v>58904</v>
      </c>
      <c r="J471">
        <v>32596</v>
      </c>
      <c r="K471">
        <v>2017</v>
      </c>
    </row>
    <row r="472" spans="1:11" x14ac:dyDescent="0.3">
      <c r="A472">
        <v>155</v>
      </c>
      <c r="B472" s="1" t="s">
        <v>168</v>
      </c>
      <c r="C472" s="1" t="s">
        <v>90</v>
      </c>
      <c r="D472">
        <v>269300</v>
      </c>
      <c r="E472" s="3">
        <v>0</v>
      </c>
      <c r="F472">
        <v>0</v>
      </c>
      <c r="G472">
        <v>48</v>
      </c>
      <c r="H472">
        <v>41146</v>
      </c>
      <c r="I472">
        <v>33514</v>
      </c>
      <c r="J472">
        <v>12183</v>
      </c>
      <c r="K472">
        <v>2017</v>
      </c>
    </row>
    <row r="473" spans="1:11" x14ac:dyDescent="0.3">
      <c r="A473">
        <v>145</v>
      </c>
      <c r="B473" s="1" t="s">
        <v>173</v>
      </c>
      <c r="C473" s="1" t="s">
        <v>99</v>
      </c>
      <c r="D473">
        <v>363150</v>
      </c>
      <c r="E473" s="3">
        <v>201215</v>
      </c>
      <c r="F473">
        <v>20121</v>
      </c>
      <c r="G473">
        <v>59</v>
      </c>
      <c r="H473">
        <v>11671</v>
      </c>
      <c r="I473">
        <v>31964</v>
      </c>
      <c r="J473">
        <v>7937</v>
      </c>
      <c r="K473">
        <v>2018</v>
      </c>
    </row>
    <row r="474" spans="1:11" x14ac:dyDescent="0.3">
      <c r="A474">
        <v>112</v>
      </c>
      <c r="B474" s="1" t="s">
        <v>115</v>
      </c>
      <c r="C474" s="1" t="s">
        <v>47</v>
      </c>
      <c r="D474">
        <v>458600</v>
      </c>
      <c r="E474" s="3">
        <v>555338</v>
      </c>
      <c r="F474">
        <v>55534</v>
      </c>
      <c r="G474">
        <v>70</v>
      </c>
      <c r="H474">
        <v>57789</v>
      </c>
      <c r="I474">
        <v>24970</v>
      </c>
      <c r="J474">
        <v>7098</v>
      </c>
      <c r="K474">
        <v>2018</v>
      </c>
    </row>
    <row r="475" spans="1:11" x14ac:dyDescent="0.3">
      <c r="A475">
        <v>84</v>
      </c>
      <c r="B475" s="1" t="s">
        <v>187</v>
      </c>
      <c r="C475" s="1" t="s">
        <v>24</v>
      </c>
      <c r="D475">
        <v>529460</v>
      </c>
      <c r="E475" s="3">
        <v>593587</v>
      </c>
      <c r="F475">
        <v>59359</v>
      </c>
      <c r="G475">
        <v>68</v>
      </c>
      <c r="H475">
        <v>10667</v>
      </c>
      <c r="I475">
        <v>9237</v>
      </c>
      <c r="J475">
        <v>29437</v>
      </c>
      <c r="K475">
        <v>2018</v>
      </c>
    </row>
    <row r="476" spans="1:11" x14ac:dyDescent="0.3">
      <c r="A476">
        <v>142</v>
      </c>
      <c r="B476" s="1" t="s">
        <v>157</v>
      </c>
      <c r="C476" s="1" t="s">
        <v>90</v>
      </c>
      <c r="D476">
        <v>379480</v>
      </c>
      <c r="E476" s="3">
        <v>442773</v>
      </c>
      <c r="F476">
        <v>44277</v>
      </c>
      <c r="G476">
        <v>59</v>
      </c>
      <c r="H476">
        <v>0</v>
      </c>
      <c r="I476">
        <v>13198</v>
      </c>
      <c r="J476">
        <v>13409</v>
      </c>
      <c r="K476">
        <v>2018</v>
      </c>
    </row>
    <row r="477" spans="1:11" x14ac:dyDescent="0.3">
      <c r="A477">
        <v>29</v>
      </c>
      <c r="B477" s="1" t="s">
        <v>45</v>
      </c>
      <c r="C477" s="1" t="s">
        <v>26</v>
      </c>
      <c r="D477">
        <v>638800</v>
      </c>
      <c r="E477" s="3">
        <v>650476</v>
      </c>
      <c r="F477">
        <v>65048</v>
      </c>
      <c r="G477">
        <v>69</v>
      </c>
      <c r="H477">
        <v>78637</v>
      </c>
      <c r="I477">
        <v>10366</v>
      </c>
      <c r="J477">
        <v>11709</v>
      </c>
      <c r="K477">
        <v>2018</v>
      </c>
    </row>
    <row r="478" spans="1:11" x14ac:dyDescent="0.3">
      <c r="A478">
        <v>129</v>
      </c>
      <c r="B478" s="1" t="s">
        <v>147</v>
      </c>
      <c r="C478" s="1" t="s">
        <v>62</v>
      </c>
      <c r="D478">
        <v>432060</v>
      </c>
      <c r="E478" s="3">
        <v>495064</v>
      </c>
      <c r="F478">
        <v>49506</v>
      </c>
      <c r="G478">
        <v>68</v>
      </c>
      <c r="H478">
        <v>35902</v>
      </c>
      <c r="I478">
        <v>12894</v>
      </c>
      <c r="J478">
        <v>6049</v>
      </c>
      <c r="K478">
        <v>2018</v>
      </c>
    </row>
    <row r="479" spans="1:11" x14ac:dyDescent="0.3">
      <c r="A479">
        <v>10</v>
      </c>
      <c r="B479" s="1" t="s">
        <v>22</v>
      </c>
      <c r="C479" s="1" t="s">
        <v>17</v>
      </c>
      <c r="D479">
        <v>727210</v>
      </c>
      <c r="E479" s="3">
        <v>812558</v>
      </c>
      <c r="F479">
        <v>81256</v>
      </c>
      <c r="G479">
        <v>73</v>
      </c>
      <c r="H479">
        <v>89240</v>
      </c>
      <c r="I479">
        <v>60412</v>
      </c>
      <c r="J479">
        <v>66165</v>
      </c>
      <c r="K479">
        <v>2018</v>
      </c>
    </row>
    <row r="480" spans="1:11" x14ac:dyDescent="0.3">
      <c r="A480">
        <v>12</v>
      </c>
      <c r="B480" s="1" t="s">
        <v>27</v>
      </c>
      <c r="C480" s="1" t="s">
        <v>12</v>
      </c>
      <c r="D480">
        <v>713940</v>
      </c>
      <c r="E480" s="3">
        <v>813407</v>
      </c>
      <c r="F480">
        <v>81341</v>
      </c>
      <c r="G480">
        <v>73</v>
      </c>
      <c r="H480">
        <v>85198</v>
      </c>
      <c r="I480">
        <v>40499</v>
      </c>
      <c r="J480">
        <v>48979</v>
      </c>
      <c r="K480">
        <v>2018</v>
      </c>
    </row>
    <row r="481" spans="1:11" x14ac:dyDescent="0.3">
      <c r="A481">
        <v>87</v>
      </c>
      <c r="B481" s="1" t="s">
        <v>100</v>
      </c>
      <c r="C481" s="1" t="s">
        <v>62</v>
      </c>
      <c r="D481">
        <v>520060</v>
      </c>
      <c r="E481" s="3">
        <v>620973</v>
      </c>
      <c r="F481">
        <v>62097</v>
      </c>
      <c r="G481">
        <v>66</v>
      </c>
      <c r="H481">
        <v>59332</v>
      </c>
      <c r="I481">
        <v>5172</v>
      </c>
      <c r="J481">
        <v>38622</v>
      </c>
      <c r="K481">
        <v>2018</v>
      </c>
    </row>
    <row r="482" spans="1:11" x14ac:dyDescent="0.3">
      <c r="A482">
        <v>43</v>
      </c>
      <c r="B482" s="1" t="s">
        <v>67</v>
      </c>
      <c r="C482" s="1" t="s">
        <v>24</v>
      </c>
      <c r="D482">
        <v>610510</v>
      </c>
      <c r="E482" s="3">
        <v>811235</v>
      </c>
      <c r="F482">
        <v>81123</v>
      </c>
      <c r="G482">
        <v>68</v>
      </c>
      <c r="H482">
        <v>82043</v>
      </c>
      <c r="I482">
        <v>40655</v>
      </c>
      <c r="J482">
        <v>26930</v>
      </c>
      <c r="K482">
        <v>2018</v>
      </c>
    </row>
    <row r="483" spans="1:11" x14ac:dyDescent="0.3">
      <c r="A483">
        <v>115</v>
      </c>
      <c r="B483" s="1" t="s">
        <v>129</v>
      </c>
      <c r="C483" s="1" t="s">
        <v>99</v>
      </c>
      <c r="D483">
        <v>450040</v>
      </c>
      <c r="E483" s="3">
        <v>322814</v>
      </c>
      <c r="F483">
        <v>32281</v>
      </c>
      <c r="G483">
        <v>66</v>
      </c>
      <c r="H483">
        <v>80007</v>
      </c>
      <c r="I483">
        <v>25600</v>
      </c>
      <c r="J483">
        <v>31470</v>
      </c>
      <c r="K483">
        <v>2018</v>
      </c>
    </row>
    <row r="484" spans="1:11" x14ac:dyDescent="0.3">
      <c r="A484">
        <v>73</v>
      </c>
      <c r="B484" s="1" t="s">
        <v>77</v>
      </c>
      <c r="C484" s="1" t="s">
        <v>62</v>
      </c>
      <c r="D484">
        <v>548330</v>
      </c>
      <c r="E484" s="3">
        <v>629925</v>
      </c>
      <c r="F484">
        <v>62993</v>
      </c>
      <c r="G484">
        <v>68</v>
      </c>
      <c r="H484">
        <v>42414</v>
      </c>
      <c r="I484">
        <v>16898</v>
      </c>
      <c r="J484">
        <v>33780</v>
      </c>
      <c r="K484">
        <v>2018</v>
      </c>
    </row>
    <row r="485" spans="1:11" x14ac:dyDescent="0.3">
      <c r="A485">
        <v>16</v>
      </c>
      <c r="B485" s="1" t="s">
        <v>33</v>
      </c>
      <c r="C485" s="1" t="s">
        <v>12</v>
      </c>
      <c r="D485">
        <v>692690</v>
      </c>
      <c r="E485" s="3">
        <v>802595</v>
      </c>
      <c r="F485">
        <v>80260</v>
      </c>
      <c r="G485">
        <v>73</v>
      </c>
      <c r="H485">
        <v>80429</v>
      </c>
      <c r="I485">
        <v>31467</v>
      </c>
      <c r="J485">
        <v>52606</v>
      </c>
      <c r="K485">
        <v>2018</v>
      </c>
    </row>
    <row r="486" spans="1:11" x14ac:dyDescent="0.3">
      <c r="A486">
        <v>49</v>
      </c>
      <c r="B486" s="1" t="s">
        <v>182</v>
      </c>
      <c r="C486" s="1" t="s">
        <v>26</v>
      </c>
      <c r="D486">
        <v>595560</v>
      </c>
      <c r="E486" s="3">
        <v>489207</v>
      </c>
      <c r="F486">
        <v>48921</v>
      </c>
      <c r="G486">
        <v>63</v>
      </c>
      <c r="H486">
        <v>81818</v>
      </c>
      <c r="I486">
        <v>30550</v>
      </c>
      <c r="J486">
        <v>19389</v>
      </c>
      <c r="K486">
        <v>2018</v>
      </c>
    </row>
    <row r="487" spans="1:11" x14ac:dyDescent="0.3">
      <c r="A487">
        <v>136</v>
      </c>
      <c r="B487" s="1" t="s">
        <v>175</v>
      </c>
      <c r="C487" s="1" t="s">
        <v>90</v>
      </c>
      <c r="D487">
        <v>414140</v>
      </c>
      <c r="E487" s="3">
        <v>229103</v>
      </c>
      <c r="F487">
        <v>22910</v>
      </c>
      <c r="G487">
        <v>58</v>
      </c>
      <c r="H487">
        <v>60699</v>
      </c>
      <c r="I487">
        <v>27317</v>
      </c>
      <c r="J487">
        <v>14625</v>
      </c>
      <c r="K487">
        <v>2018</v>
      </c>
    </row>
    <row r="488" spans="1:11" x14ac:dyDescent="0.3">
      <c r="A488">
        <v>97</v>
      </c>
      <c r="B488" s="1" t="s">
        <v>98</v>
      </c>
      <c r="C488" s="1" t="s">
        <v>99</v>
      </c>
      <c r="D488">
        <v>508210</v>
      </c>
      <c r="E488" s="3">
        <v>482921</v>
      </c>
      <c r="F488">
        <v>48292</v>
      </c>
      <c r="G488">
        <v>65</v>
      </c>
      <c r="H488">
        <v>74743</v>
      </c>
      <c r="I488">
        <v>60915</v>
      </c>
      <c r="J488">
        <v>37381</v>
      </c>
      <c r="K488">
        <v>2018</v>
      </c>
    </row>
    <row r="489" spans="1:11" x14ac:dyDescent="0.3">
      <c r="A489">
        <v>62</v>
      </c>
      <c r="B489" s="1" t="s">
        <v>69</v>
      </c>
      <c r="C489" s="1" t="s">
        <v>26</v>
      </c>
      <c r="D489">
        <v>575190</v>
      </c>
      <c r="E489" s="3">
        <v>455479</v>
      </c>
      <c r="F489">
        <v>45548</v>
      </c>
      <c r="G489">
        <v>64</v>
      </c>
      <c r="H489">
        <v>83610</v>
      </c>
      <c r="I489">
        <v>23621</v>
      </c>
      <c r="J489">
        <v>11778</v>
      </c>
      <c r="K489">
        <v>2018</v>
      </c>
    </row>
    <row r="490" spans="1:11" x14ac:dyDescent="0.3">
      <c r="A490">
        <v>93</v>
      </c>
      <c r="B490" s="1" t="s">
        <v>116</v>
      </c>
      <c r="C490" s="1" t="s">
        <v>47</v>
      </c>
      <c r="D490">
        <v>512940</v>
      </c>
      <c r="E490" s="3">
        <v>554813</v>
      </c>
      <c r="F490">
        <v>55481</v>
      </c>
      <c r="G490">
        <v>70</v>
      </c>
      <c r="H490">
        <v>38691</v>
      </c>
      <c r="I490">
        <v>36134</v>
      </c>
      <c r="J490">
        <v>0</v>
      </c>
      <c r="K490">
        <v>2018</v>
      </c>
    </row>
    <row r="491" spans="1:11" x14ac:dyDescent="0.3">
      <c r="A491">
        <v>146</v>
      </c>
      <c r="B491" s="1" t="s">
        <v>148</v>
      </c>
      <c r="C491" s="1" t="s">
        <v>90</v>
      </c>
      <c r="D491">
        <v>358980</v>
      </c>
      <c r="E491" s="3">
        <v>616459</v>
      </c>
      <c r="F491">
        <v>61646</v>
      </c>
      <c r="G491">
        <v>62</v>
      </c>
      <c r="H491">
        <v>76855</v>
      </c>
      <c r="I491">
        <v>7090</v>
      </c>
      <c r="J491">
        <v>20189</v>
      </c>
      <c r="K491">
        <v>2018</v>
      </c>
    </row>
    <row r="492" spans="1:11" x14ac:dyDescent="0.3">
      <c r="A492">
        <v>28</v>
      </c>
      <c r="B492" s="1" t="s">
        <v>30</v>
      </c>
      <c r="C492" s="1" t="s">
        <v>26</v>
      </c>
      <c r="D492">
        <v>641890</v>
      </c>
      <c r="E492" s="3">
        <v>597856</v>
      </c>
      <c r="F492">
        <v>59786</v>
      </c>
      <c r="G492">
        <v>68</v>
      </c>
      <c r="H492">
        <v>68113</v>
      </c>
      <c r="I492">
        <v>18451</v>
      </c>
      <c r="J492">
        <v>19214</v>
      </c>
      <c r="K492">
        <v>2018</v>
      </c>
    </row>
    <row r="493" spans="1:11" x14ac:dyDescent="0.3">
      <c r="A493">
        <v>100</v>
      </c>
      <c r="B493" s="1" t="s">
        <v>154</v>
      </c>
      <c r="C493" s="1" t="s">
        <v>47</v>
      </c>
      <c r="D493">
        <v>493310</v>
      </c>
      <c r="E493" s="3">
        <v>639420</v>
      </c>
      <c r="F493">
        <v>63942</v>
      </c>
      <c r="G493">
        <v>69</v>
      </c>
      <c r="H493">
        <v>49519</v>
      </c>
      <c r="I493">
        <v>10746</v>
      </c>
      <c r="J493">
        <v>2044</v>
      </c>
      <c r="K493">
        <v>2018</v>
      </c>
    </row>
    <row r="494" spans="1:11" x14ac:dyDescent="0.3">
      <c r="A494">
        <v>121</v>
      </c>
      <c r="B494" s="1" t="s">
        <v>172</v>
      </c>
      <c r="C494" s="1" t="s">
        <v>90</v>
      </c>
      <c r="D494">
        <v>442440</v>
      </c>
      <c r="E494" s="3">
        <v>190210</v>
      </c>
      <c r="F494">
        <v>19021</v>
      </c>
      <c r="G494">
        <v>59</v>
      </c>
      <c r="H494">
        <v>43015</v>
      </c>
      <c r="I494">
        <v>29362</v>
      </c>
      <c r="J494">
        <v>27995</v>
      </c>
      <c r="K494">
        <v>2018</v>
      </c>
    </row>
    <row r="495" spans="1:11" x14ac:dyDescent="0.3">
      <c r="A495">
        <v>156</v>
      </c>
      <c r="B495" s="1" t="s">
        <v>177</v>
      </c>
      <c r="C495" s="1" t="s">
        <v>90</v>
      </c>
      <c r="D495">
        <v>290450</v>
      </c>
      <c r="E495" s="3">
        <v>55066</v>
      </c>
      <c r="F495">
        <v>5507</v>
      </c>
      <c r="G495">
        <v>56</v>
      </c>
      <c r="H495">
        <v>8951</v>
      </c>
      <c r="I495">
        <v>24918</v>
      </c>
      <c r="J495">
        <v>16621</v>
      </c>
      <c r="K495">
        <v>2018</v>
      </c>
    </row>
    <row r="496" spans="1:11" x14ac:dyDescent="0.3">
      <c r="A496">
        <v>120</v>
      </c>
      <c r="B496" s="1" t="s">
        <v>165</v>
      </c>
      <c r="C496" s="1" t="s">
        <v>39</v>
      </c>
      <c r="D496">
        <v>443260</v>
      </c>
      <c r="E496" s="3">
        <v>332717</v>
      </c>
      <c r="F496">
        <v>33272</v>
      </c>
      <c r="G496">
        <v>63</v>
      </c>
      <c r="H496">
        <v>96122</v>
      </c>
      <c r="I496">
        <v>42895</v>
      </c>
      <c r="J496">
        <v>14208</v>
      </c>
      <c r="K496">
        <v>2018</v>
      </c>
    </row>
    <row r="497" spans="1:11" x14ac:dyDescent="0.3">
      <c r="A497">
        <v>99</v>
      </c>
      <c r="B497" s="1" t="s">
        <v>153</v>
      </c>
      <c r="C497" s="1" t="s">
        <v>90</v>
      </c>
      <c r="D497">
        <v>497530</v>
      </c>
      <c r="E497" s="3">
        <v>324223</v>
      </c>
      <c r="F497">
        <v>32422</v>
      </c>
      <c r="G497">
        <v>57</v>
      </c>
      <c r="H497">
        <v>62613</v>
      </c>
      <c r="I497">
        <v>30590</v>
      </c>
      <c r="J497">
        <v>9497</v>
      </c>
      <c r="K497">
        <v>2018</v>
      </c>
    </row>
    <row r="498" spans="1:11" x14ac:dyDescent="0.3">
      <c r="A498">
        <v>7</v>
      </c>
      <c r="B498" s="1" t="s">
        <v>16</v>
      </c>
      <c r="C498" s="1" t="s">
        <v>17</v>
      </c>
      <c r="D498">
        <v>732850</v>
      </c>
      <c r="E498" s="3">
        <v>806773</v>
      </c>
      <c r="F498">
        <v>80677</v>
      </c>
      <c r="G498">
        <v>73</v>
      </c>
      <c r="H498">
        <v>90143</v>
      </c>
      <c r="I498">
        <v>53657</v>
      </c>
      <c r="J498">
        <v>63660</v>
      </c>
      <c r="K498">
        <v>2018</v>
      </c>
    </row>
    <row r="499" spans="1:11" x14ac:dyDescent="0.3">
      <c r="A499">
        <v>155</v>
      </c>
      <c r="B499" s="1" t="s">
        <v>168</v>
      </c>
      <c r="C499" s="1" t="s">
        <v>90</v>
      </c>
      <c r="D499">
        <v>308300</v>
      </c>
      <c r="E499" s="3">
        <v>14496</v>
      </c>
      <c r="F499">
        <v>1450</v>
      </c>
      <c r="G499">
        <v>53</v>
      </c>
      <c r="H499">
        <v>42138</v>
      </c>
      <c r="I499">
        <v>36541</v>
      </c>
      <c r="J499">
        <v>8391</v>
      </c>
      <c r="K499">
        <v>2018</v>
      </c>
    </row>
    <row r="500" spans="1:11" x14ac:dyDescent="0.3">
      <c r="A500">
        <v>131</v>
      </c>
      <c r="B500" s="1" t="s">
        <v>169</v>
      </c>
      <c r="C500" s="1" t="s">
        <v>90</v>
      </c>
      <c r="D500">
        <v>430060</v>
      </c>
      <c r="E500" s="3">
        <v>216991</v>
      </c>
      <c r="F500">
        <v>21699</v>
      </c>
      <c r="G500">
        <v>54</v>
      </c>
      <c r="H500">
        <v>26075</v>
      </c>
      <c r="I500">
        <v>30259</v>
      </c>
      <c r="J500">
        <v>13119</v>
      </c>
      <c r="K500">
        <v>2018</v>
      </c>
    </row>
    <row r="501" spans="1:11" x14ac:dyDescent="0.3">
      <c r="A501">
        <v>25</v>
      </c>
      <c r="B501" s="1" t="s">
        <v>42</v>
      </c>
      <c r="C501" s="1" t="s">
        <v>26</v>
      </c>
      <c r="D501">
        <v>647620</v>
      </c>
      <c r="E501" s="3">
        <v>686033</v>
      </c>
      <c r="F501">
        <v>68603</v>
      </c>
      <c r="G501">
        <v>71</v>
      </c>
      <c r="H501">
        <v>59523</v>
      </c>
      <c r="I501">
        <v>32976</v>
      </c>
      <c r="J501">
        <v>13264</v>
      </c>
      <c r="K501">
        <v>2018</v>
      </c>
    </row>
    <row r="502" spans="1:11" x14ac:dyDescent="0.3">
      <c r="A502">
        <v>86</v>
      </c>
      <c r="B502" s="1" t="s">
        <v>104</v>
      </c>
      <c r="C502" s="1" t="s">
        <v>55</v>
      </c>
      <c r="D502">
        <v>524580</v>
      </c>
      <c r="E502" s="3">
        <v>599930</v>
      </c>
      <c r="F502">
        <v>59993</v>
      </c>
      <c r="G502">
        <v>71</v>
      </c>
      <c r="H502">
        <v>82375</v>
      </c>
      <c r="I502">
        <v>4795</v>
      </c>
      <c r="J502">
        <v>22613</v>
      </c>
      <c r="K502">
        <v>2018</v>
      </c>
    </row>
    <row r="503" spans="1:11" x14ac:dyDescent="0.3">
      <c r="A503">
        <v>37</v>
      </c>
      <c r="B503" s="1" t="s">
        <v>49</v>
      </c>
      <c r="C503" s="1" t="s">
        <v>26</v>
      </c>
      <c r="D503">
        <v>626010</v>
      </c>
      <c r="E503" s="3">
        <v>582411</v>
      </c>
      <c r="F503">
        <v>58241</v>
      </c>
      <c r="G503">
        <v>67</v>
      </c>
      <c r="H503">
        <v>73353</v>
      </c>
      <c r="I503">
        <v>16499</v>
      </c>
      <c r="J503">
        <v>8628</v>
      </c>
      <c r="K503">
        <v>2018</v>
      </c>
    </row>
    <row r="504" spans="1:11" x14ac:dyDescent="0.3">
      <c r="A504">
        <v>114</v>
      </c>
      <c r="B504" s="1" t="s">
        <v>159</v>
      </c>
      <c r="C504" s="1" t="s">
        <v>90</v>
      </c>
      <c r="D504">
        <v>455870</v>
      </c>
      <c r="E504" s="3">
        <v>413327</v>
      </c>
      <c r="F504">
        <v>41333</v>
      </c>
      <c r="G504">
        <v>60</v>
      </c>
      <c r="H504">
        <v>70919</v>
      </c>
      <c r="I504">
        <v>15311</v>
      </c>
      <c r="J504">
        <v>16916</v>
      </c>
      <c r="K504">
        <v>2018</v>
      </c>
    </row>
    <row r="505" spans="1:11" x14ac:dyDescent="0.3">
      <c r="A505">
        <v>132</v>
      </c>
      <c r="B505" s="1" t="s">
        <v>140</v>
      </c>
      <c r="C505" s="1" t="s">
        <v>90</v>
      </c>
      <c r="D505">
        <v>424490</v>
      </c>
      <c r="E505" s="3">
        <v>41979</v>
      </c>
      <c r="F505">
        <v>4198</v>
      </c>
      <c r="G505">
        <v>57</v>
      </c>
      <c r="H505">
        <v>43113</v>
      </c>
      <c r="I505">
        <v>33005</v>
      </c>
      <c r="J505">
        <v>11434</v>
      </c>
      <c r="K505">
        <v>2018</v>
      </c>
    </row>
    <row r="506" spans="1:11" x14ac:dyDescent="0.3">
      <c r="A506">
        <v>13</v>
      </c>
      <c r="B506" s="1" t="s">
        <v>25</v>
      </c>
      <c r="C506" s="1" t="s">
        <v>26</v>
      </c>
      <c r="D506">
        <v>707170</v>
      </c>
      <c r="E506" s="3">
        <v>612525</v>
      </c>
      <c r="F506">
        <v>61252</v>
      </c>
      <c r="G506">
        <v>71</v>
      </c>
      <c r="H506">
        <v>87169</v>
      </c>
      <c r="I506">
        <v>23980</v>
      </c>
      <c r="J506">
        <v>22018</v>
      </c>
      <c r="K506">
        <v>2018</v>
      </c>
    </row>
    <row r="507" spans="1:11" x14ac:dyDescent="0.3">
      <c r="A507">
        <v>82</v>
      </c>
      <c r="B507" s="1" t="s">
        <v>80</v>
      </c>
      <c r="C507" s="1" t="s">
        <v>47</v>
      </c>
      <c r="D507">
        <v>532120</v>
      </c>
      <c r="E507" s="3">
        <v>676097</v>
      </c>
      <c r="F507">
        <v>67610</v>
      </c>
      <c r="G507">
        <v>69</v>
      </c>
      <c r="H507">
        <v>52503</v>
      </c>
      <c r="I507">
        <v>20085</v>
      </c>
      <c r="J507">
        <v>8523</v>
      </c>
      <c r="K507">
        <v>2018</v>
      </c>
    </row>
    <row r="508" spans="1:11" x14ac:dyDescent="0.3">
      <c r="A508">
        <v>61</v>
      </c>
      <c r="B508" s="1" t="s">
        <v>85</v>
      </c>
      <c r="C508" s="1" t="s">
        <v>24</v>
      </c>
      <c r="D508">
        <v>576250</v>
      </c>
      <c r="E508" s="3">
        <v>745164</v>
      </c>
      <c r="F508">
        <v>74516</v>
      </c>
      <c r="G508">
        <v>73</v>
      </c>
      <c r="H508">
        <v>58353</v>
      </c>
      <c r="I508">
        <v>33886</v>
      </c>
      <c r="J508">
        <v>7654</v>
      </c>
      <c r="K508">
        <v>2018</v>
      </c>
    </row>
    <row r="509" spans="1:11" x14ac:dyDescent="0.3">
      <c r="A509">
        <v>21</v>
      </c>
      <c r="B509" s="1" t="s">
        <v>46</v>
      </c>
      <c r="C509" s="1" t="s">
        <v>47</v>
      </c>
      <c r="D509">
        <v>671090</v>
      </c>
      <c r="E509" s="3">
        <v>747985</v>
      </c>
      <c r="F509">
        <v>74799</v>
      </c>
      <c r="G509">
        <v>72</v>
      </c>
      <c r="H509">
        <v>74901</v>
      </c>
      <c r="I509">
        <v>10704</v>
      </c>
      <c r="J509">
        <v>7361</v>
      </c>
      <c r="K509">
        <v>2018</v>
      </c>
    </row>
    <row r="510" spans="1:11" x14ac:dyDescent="0.3">
      <c r="A510">
        <v>3</v>
      </c>
      <c r="B510" s="1" t="s">
        <v>14</v>
      </c>
      <c r="C510" s="1" t="s">
        <v>12</v>
      </c>
      <c r="D510">
        <v>755530</v>
      </c>
      <c r="E510" s="3">
        <v>819350</v>
      </c>
      <c r="F510">
        <v>81935</v>
      </c>
      <c r="G510">
        <v>72</v>
      </c>
      <c r="H510">
        <v>94310</v>
      </c>
      <c r="I510">
        <v>47592</v>
      </c>
      <c r="J510">
        <v>89266</v>
      </c>
      <c r="K510">
        <v>2018</v>
      </c>
    </row>
    <row r="511" spans="1:11" x14ac:dyDescent="0.3">
      <c r="A511">
        <v>83</v>
      </c>
      <c r="B511" s="1" t="s">
        <v>118</v>
      </c>
      <c r="C511" s="1" t="s">
        <v>26</v>
      </c>
      <c r="D511">
        <v>530180</v>
      </c>
      <c r="E511" s="3">
        <v>595300</v>
      </c>
      <c r="F511">
        <v>59530</v>
      </c>
      <c r="G511">
        <v>66</v>
      </c>
      <c r="H511">
        <v>79820</v>
      </c>
      <c r="I511">
        <v>20073</v>
      </c>
      <c r="J511">
        <v>23139</v>
      </c>
      <c r="K511">
        <v>2018</v>
      </c>
    </row>
    <row r="512" spans="1:11" x14ac:dyDescent="0.3">
      <c r="A512">
        <v>48</v>
      </c>
      <c r="B512" s="1" t="s">
        <v>66</v>
      </c>
      <c r="C512" s="1" t="s">
        <v>26</v>
      </c>
      <c r="D512">
        <v>597320</v>
      </c>
      <c r="E512" s="3">
        <v>539197</v>
      </c>
      <c r="F512">
        <v>53920</v>
      </c>
      <c r="G512">
        <v>69</v>
      </c>
      <c r="H512">
        <v>76765</v>
      </c>
      <c r="I512">
        <v>19064</v>
      </c>
      <c r="J512">
        <v>26294</v>
      </c>
      <c r="K512">
        <v>2018</v>
      </c>
    </row>
    <row r="513" spans="1:11" x14ac:dyDescent="0.3">
      <c r="A513">
        <v>122</v>
      </c>
      <c r="B513" s="1" t="s">
        <v>155</v>
      </c>
      <c r="C513" s="1" t="s">
        <v>24</v>
      </c>
      <c r="D513">
        <v>441920</v>
      </c>
      <c r="E513" s="3">
        <v>536904</v>
      </c>
      <c r="F513">
        <v>53690</v>
      </c>
      <c r="G513">
        <v>65</v>
      </c>
      <c r="H513">
        <v>43076</v>
      </c>
      <c r="I513">
        <v>15466</v>
      </c>
      <c r="J513">
        <v>23331</v>
      </c>
      <c r="K513">
        <v>2018</v>
      </c>
    </row>
    <row r="514" spans="1:11" x14ac:dyDescent="0.3">
      <c r="A514">
        <v>40</v>
      </c>
      <c r="B514" s="1" t="s">
        <v>59</v>
      </c>
      <c r="C514" s="1" t="s">
        <v>26</v>
      </c>
      <c r="D514">
        <v>616680</v>
      </c>
      <c r="E514" s="3">
        <v>488660</v>
      </c>
      <c r="F514">
        <v>48866</v>
      </c>
      <c r="G514">
        <v>67</v>
      </c>
      <c r="H514">
        <v>63587</v>
      </c>
      <c r="I514">
        <v>10888</v>
      </c>
      <c r="J514">
        <v>18018</v>
      </c>
      <c r="K514">
        <v>2018</v>
      </c>
    </row>
    <row r="515" spans="1:11" x14ac:dyDescent="0.3">
      <c r="A515">
        <v>63</v>
      </c>
      <c r="B515" s="1" t="s">
        <v>92</v>
      </c>
      <c r="C515" s="1" t="s">
        <v>12</v>
      </c>
      <c r="D515">
        <v>573920</v>
      </c>
      <c r="E515" s="3">
        <v>727703</v>
      </c>
      <c r="F515">
        <v>72770</v>
      </c>
      <c r="G515">
        <v>69</v>
      </c>
      <c r="H515">
        <v>76302</v>
      </c>
      <c r="I515">
        <v>14346</v>
      </c>
      <c r="J515">
        <v>38048</v>
      </c>
      <c r="K515">
        <v>2018</v>
      </c>
    </row>
    <row r="516" spans="1:11" x14ac:dyDescent="0.3">
      <c r="A516">
        <v>127</v>
      </c>
      <c r="B516" s="1" t="s">
        <v>142</v>
      </c>
      <c r="C516" s="1" t="s">
        <v>90</v>
      </c>
      <c r="D516">
        <v>435020</v>
      </c>
      <c r="E516" s="3">
        <v>186731</v>
      </c>
      <c r="F516">
        <v>18673</v>
      </c>
      <c r="G516">
        <v>62</v>
      </c>
      <c r="H516">
        <v>62376</v>
      </c>
      <c r="I516">
        <v>36749</v>
      </c>
      <c r="J516">
        <v>31958</v>
      </c>
      <c r="K516">
        <v>2018</v>
      </c>
    </row>
    <row r="517" spans="1:11" x14ac:dyDescent="0.3">
      <c r="A517">
        <v>1</v>
      </c>
      <c r="B517" s="1" t="s">
        <v>18</v>
      </c>
      <c r="C517" s="1" t="s">
        <v>12</v>
      </c>
      <c r="D517">
        <v>763210</v>
      </c>
      <c r="E517" s="3">
        <v>791421</v>
      </c>
      <c r="F517">
        <v>79142</v>
      </c>
      <c r="G517">
        <v>72</v>
      </c>
      <c r="H517">
        <v>93948</v>
      </c>
      <c r="I517">
        <v>32070</v>
      </c>
      <c r="J517">
        <v>85993</v>
      </c>
      <c r="K517">
        <v>2018</v>
      </c>
    </row>
    <row r="518" spans="1:11" x14ac:dyDescent="0.3">
      <c r="A518">
        <v>23</v>
      </c>
      <c r="B518" s="1" t="s">
        <v>44</v>
      </c>
      <c r="C518" s="1" t="s">
        <v>12</v>
      </c>
      <c r="D518">
        <v>648930</v>
      </c>
      <c r="E518" s="3">
        <v>783956</v>
      </c>
      <c r="F518">
        <v>78396</v>
      </c>
      <c r="G518">
        <v>73</v>
      </c>
      <c r="H518">
        <v>71818</v>
      </c>
      <c r="I518">
        <v>16373</v>
      </c>
      <c r="J518">
        <v>38447</v>
      </c>
      <c r="K518">
        <v>2018</v>
      </c>
    </row>
    <row r="519" spans="1:11" x14ac:dyDescent="0.3">
      <c r="A519">
        <v>103</v>
      </c>
      <c r="B519" s="1" t="s">
        <v>163</v>
      </c>
      <c r="C519" s="1" t="s">
        <v>90</v>
      </c>
      <c r="D519">
        <v>475830</v>
      </c>
      <c r="E519" s="3">
        <v>628407</v>
      </c>
      <c r="F519">
        <v>62841</v>
      </c>
      <c r="G519">
        <v>62</v>
      </c>
      <c r="H519">
        <v>49178</v>
      </c>
      <c r="I519">
        <v>5361</v>
      </c>
      <c r="J519">
        <v>11282</v>
      </c>
      <c r="K519">
        <v>2018</v>
      </c>
    </row>
    <row r="520" spans="1:11" x14ac:dyDescent="0.3">
      <c r="A520">
        <v>128</v>
      </c>
      <c r="B520" s="1" t="s">
        <v>150</v>
      </c>
      <c r="C520" s="1" t="s">
        <v>62</v>
      </c>
      <c r="D520">
        <v>434050</v>
      </c>
      <c r="E520" s="3">
        <v>517439</v>
      </c>
      <c r="F520">
        <v>51744</v>
      </c>
      <c r="G520">
        <v>67</v>
      </c>
      <c r="H520">
        <v>51823</v>
      </c>
      <c r="I520">
        <v>6442</v>
      </c>
      <c r="J520">
        <v>46992</v>
      </c>
      <c r="K520">
        <v>2018</v>
      </c>
    </row>
    <row r="521" spans="1:11" x14ac:dyDescent="0.3">
      <c r="A521">
        <v>15</v>
      </c>
      <c r="B521" s="1" t="s">
        <v>41</v>
      </c>
      <c r="C521" s="1" t="s">
        <v>12</v>
      </c>
      <c r="D521">
        <v>696470</v>
      </c>
      <c r="E521" s="3">
        <v>812357</v>
      </c>
      <c r="F521">
        <v>81236</v>
      </c>
      <c r="G521">
        <v>72</v>
      </c>
      <c r="H521">
        <v>80907</v>
      </c>
      <c r="I521">
        <v>45768</v>
      </c>
      <c r="J521">
        <v>61239</v>
      </c>
      <c r="K521">
        <v>2018</v>
      </c>
    </row>
    <row r="522" spans="1:11" x14ac:dyDescent="0.3">
      <c r="A522">
        <v>108</v>
      </c>
      <c r="B522" s="1" t="s">
        <v>134</v>
      </c>
      <c r="C522" s="1" t="s">
        <v>90</v>
      </c>
      <c r="D522">
        <v>465700</v>
      </c>
      <c r="E522" s="3">
        <v>358823</v>
      </c>
      <c r="F522">
        <v>35882</v>
      </c>
      <c r="G522">
        <v>60</v>
      </c>
      <c r="H522">
        <v>68812</v>
      </c>
      <c r="I522">
        <v>35439</v>
      </c>
      <c r="J522">
        <v>6293</v>
      </c>
      <c r="K522">
        <v>2018</v>
      </c>
    </row>
    <row r="523" spans="1:11" x14ac:dyDescent="0.3">
      <c r="A523">
        <v>79</v>
      </c>
      <c r="B523" s="1" t="s">
        <v>122</v>
      </c>
      <c r="C523" s="1" t="s">
        <v>12</v>
      </c>
      <c r="D523">
        <v>535790</v>
      </c>
      <c r="E523" s="3">
        <v>699674</v>
      </c>
      <c r="F523">
        <v>69967</v>
      </c>
      <c r="G523">
        <v>72</v>
      </c>
      <c r="H523">
        <v>18072</v>
      </c>
      <c r="I523">
        <v>0</v>
      </c>
      <c r="J523">
        <v>9730</v>
      </c>
      <c r="K523">
        <v>2018</v>
      </c>
    </row>
    <row r="524" spans="1:11" x14ac:dyDescent="0.3">
      <c r="A524">
        <v>30</v>
      </c>
      <c r="B524" s="1" t="s">
        <v>60</v>
      </c>
      <c r="C524" s="1" t="s">
        <v>26</v>
      </c>
      <c r="D524">
        <v>638190</v>
      </c>
      <c r="E524" s="3">
        <v>473802</v>
      </c>
      <c r="F524">
        <v>47380</v>
      </c>
      <c r="G524">
        <v>66</v>
      </c>
      <c r="H524">
        <v>83412</v>
      </c>
      <c r="I524">
        <v>29922</v>
      </c>
      <c r="J524">
        <v>15453</v>
      </c>
      <c r="K524">
        <v>2018</v>
      </c>
    </row>
    <row r="525" spans="1:11" x14ac:dyDescent="0.3">
      <c r="A525">
        <v>140</v>
      </c>
      <c r="B525" s="1" t="s">
        <v>170</v>
      </c>
      <c r="C525" s="1" t="s">
        <v>90</v>
      </c>
      <c r="D525">
        <v>396410</v>
      </c>
      <c r="E525" s="3">
        <v>208427</v>
      </c>
      <c r="F525">
        <v>20843</v>
      </c>
      <c r="G525">
        <v>58</v>
      </c>
      <c r="H525">
        <v>54428</v>
      </c>
      <c r="I525">
        <v>31040</v>
      </c>
      <c r="J525">
        <v>20532</v>
      </c>
      <c r="K525">
        <v>2018</v>
      </c>
    </row>
    <row r="526" spans="1:11" x14ac:dyDescent="0.3">
      <c r="A526">
        <v>148</v>
      </c>
      <c r="B526" s="1" t="s">
        <v>139</v>
      </c>
      <c r="C526" s="1" t="s">
        <v>26</v>
      </c>
      <c r="D526">
        <v>358200</v>
      </c>
      <c r="E526" s="3">
        <v>190865</v>
      </c>
      <c r="F526">
        <v>19087</v>
      </c>
      <c r="G526">
        <v>59</v>
      </c>
      <c r="H526">
        <v>3429</v>
      </c>
      <c r="I526">
        <v>65657</v>
      </c>
      <c r="J526">
        <v>22664</v>
      </c>
      <c r="K526">
        <v>2018</v>
      </c>
    </row>
    <row r="527" spans="1:11" x14ac:dyDescent="0.3">
      <c r="A527">
        <v>72</v>
      </c>
      <c r="B527" s="1" t="s">
        <v>125</v>
      </c>
      <c r="C527" s="1" t="s">
        <v>26</v>
      </c>
      <c r="D527">
        <v>550400</v>
      </c>
      <c r="E527" s="3">
        <v>375752</v>
      </c>
      <c r="F527">
        <v>37575</v>
      </c>
      <c r="G527">
        <v>67</v>
      </c>
      <c r="H527">
        <v>63304</v>
      </c>
      <c r="I527">
        <v>32935</v>
      </c>
      <c r="J527">
        <v>16102</v>
      </c>
      <c r="K527">
        <v>2018</v>
      </c>
    </row>
    <row r="528" spans="1:11" x14ac:dyDescent="0.3">
      <c r="A528">
        <v>76</v>
      </c>
      <c r="B528" s="1" t="s">
        <v>91</v>
      </c>
      <c r="C528" s="1" t="s">
        <v>55</v>
      </c>
      <c r="D528">
        <v>543040</v>
      </c>
      <c r="E528" s="3">
        <v>852041</v>
      </c>
      <c r="F528">
        <v>85204</v>
      </c>
      <c r="G528">
        <v>76</v>
      </c>
      <c r="H528">
        <v>72358</v>
      </c>
      <c r="I528">
        <v>41245</v>
      </c>
      <c r="J528">
        <v>63775</v>
      </c>
      <c r="K528">
        <v>2018</v>
      </c>
    </row>
    <row r="529" spans="1:11" x14ac:dyDescent="0.3">
      <c r="A529">
        <v>69</v>
      </c>
      <c r="B529" s="1" t="s">
        <v>124</v>
      </c>
      <c r="C529" s="1" t="s">
        <v>47</v>
      </c>
      <c r="D529">
        <v>562000</v>
      </c>
      <c r="E529" s="3">
        <v>710126</v>
      </c>
      <c r="F529">
        <v>71013</v>
      </c>
      <c r="G529">
        <v>69</v>
      </c>
      <c r="H529">
        <v>35751</v>
      </c>
      <c r="I529">
        <v>10160</v>
      </c>
      <c r="J529">
        <v>4871</v>
      </c>
      <c r="K529">
        <v>2018</v>
      </c>
    </row>
    <row r="530" spans="1:11" x14ac:dyDescent="0.3">
      <c r="A530">
        <v>4</v>
      </c>
      <c r="B530" s="1" t="s">
        <v>13</v>
      </c>
      <c r="C530" s="1" t="s">
        <v>12</v>
      </c>
      <c r="D530">
        <v>749520</v>
      </c>
      <c r="E530" s="3">
        <v>814589</v>
      </c>
      <c r="F530">
        <v>81459</v>
      </c>
      <c r="G530">
        <v>73</v>
      </c>
      <c r="H530">
        <v>93378</v>
      </c>
      <c r="I530">
        <v>59112</v>
      </c>
      <c r="J530">
        <v>30203</v>
      </c>
      <c r="K530">
        <v>2018</v>
      </c>
    </row>
    <row r="531" spans="1:11" x14ac:dyDescent="0.3">
      <c r="A531">
        <v>133</v>
      </c>
      <c r="B531" s="1" t="s">
        <v>137</v>
      </c>
      <c r="C531" s="1" t="s">
        <v>99</v>
      </c>
      <c r="D531">
        <v>418980</v>
      </c>
      <c r="E531" s="3">
        <v>437378</v>
      </c>
      <c r="F531">
        <v>43738</v>
      </c>
      <c r="G531">
        <v>64</v>
      </c>
      <c r="H531">
        <v>74442</v>
      </c>
      <c r="I531">
        <v>28815</v>
      </c>
      <c r="J531">
        <v>20391</v>
      </c>
      <c r="K531">
        <v>2018</v>
      </c>
    </row>
    <row r="532" spans="1:11" x14ac:dyDescent="0.3">
      <c r="A532">
        <v>96</v>
      </c>
      <c r="B532" s="1" t="s">
        <v>93</v>
      </c>
      <c r="C532" s="1" t="s">
        <v>39</v>
      </c>
      <c r="D532">
        <v>509260</v>
      </c>
      <c r="E532" s="3">
        <v>545189</v>
      </c>
      <c r="F532">
        <v>54519</v>
      </c>
      <c r="G532">
        <v>64</v>
      </c>
      <c r="H532">
        <v>74282</v>
      </c>
      <c r="I532">
        <v>80999</v>
      </c>
      <c r="J532">
        <v>3858</v>
      </c>
      <c r="K532">
        <v>2018</v>
      </c>
    </row>
    <row r="533" spans="1:11" x14ac:dyDescent="0.3">
      <c r="A533">
        <v>106</v>
      </c>
      <c r="B533" s="1" t="s">
        <v>130</v>
      </c>
      <c r="C533" s="1" t="s">
        <v>24</v>
      </c>
      <c r="D533">
        <v>470660</v>
      </c>
      <c r="E533" s="3">
        <v>641904</v>
      </c>
      <c r="F533">
        <v>64190</v>
      </c>
      <c r="G533">
        <v>68</v>
      </c>
      <c r="H533">
        <v>63405</v>
      </c>
      <c r="I533">
        <v>47256</v>
      </c>
      <c r="J533">
        <v>28289</v>
      </c>
      <c r="K533">
        <v>2018</v>
      </c>
    </row>
    <row r="534" spans="1:11" x14ac:dyDescent="0.3">
      <c r="A534">
        <v>117</v>
      </c>
      <c r="B534" s="1" t="s">
        <v>132</v>
      </c>
      <c r="C534" s="1" t="s">
        <v>24</v>
      </c>
      <c r="D534">
        <v>445560</v>
      </c>
      <c r="E534" s="3">
        <v>612391</v>
      </c>
      <c r="F534">
        <v>61239</v>
      </c>
      <c r="G534">
        <v>65</v>
      </c>
      <c r="H534">
        <v>41918</v>
      </c>
      <c r="I534">
        <v>24709</v>
      </c>
      <c r="J534">
        <v>20703</v>
      </c>
      <c r="K534">
        <v>2018</v>
      </c>
    </row>
    <row r="535" spans="1:11" x14ac:dyDescent="0.3">
      <c r="A535">
        <v>14</v>
      </c>
      <c r="B535" s="1" t="s">
        <v>32</v>
      </c>
      <c r="C535" s="1" t="s">
        <v>12</v>
      </c>
      <c r="D535">
        <v>697710</v>
      </c>
      <c r="E535" s="3">
        <v>877826</v>
      </c>
      <c r="F535">
        <v>87783</v>
      </c>
      <c r="G535">
        <v>72</v>
      </c>
      <c r="H535">
        <v>84746</v>
      </c>
      <c r="I535">
        <v>51293</v>
      </c>
      <c r="J535">
        <v>66923</v>
      </c>
      <c r="K535">
        <v>2018</v>
      </c>
    </row>
    <row r="536" spans="1:11" x14ac:dyDescent="0.3">
      <c r="A536">
        <v>11</v>
      </c>
      <c r="B536" s="1" t="s">
        <v>23</v>
      </c>
      <c r="C536" s="1" t="s">
        <v>24</v>
      </c>
      <c r="D536">
        <v>719000</v>
      </c>
      <c r="E536" s="3">
        <v>754265</v>
      </c>
      <c r="F536">
        <v>75427</v>
      </c>
      <c r="G536">
        <v>73</v>
      </c>
      <c r="H536">
        <v>64053</v>
      </c>
      <c r="I536">
        <v>43921</v>
      </c>
      <c r="J536">
        <v>17875</v>
      </c>
      <c r="K536">
        <v>2018</v>
      </c>
    </row>
    <row r="537" spans="1:11" x14ac:dyDescent="0.3">
      <c r="A537">
        <v>47</v>
      </c>
      <c r="B537" s="1" t="s">
        <v>68</v>
      </c>
      <c r="C537" s="1" t="s">
        <v>12</v>
      </c>
      <c r="D537">
        <v>600040</v>
      </c>
      <c r="E537" s="3">
        <v>766585</v>
      </c>
      <c r="F537">
        <v>76659</v>
      </c>
      <c r="G537">
        <v>74</v>
      </c>
      <c r="H537">
        <v>38789</v>
      </c>
      <c r="I537">
        <v>22850</v>
      </c>
      <c r="J537">
        <v>6226</v>
      </c>
      <c r="K537">
        <v>2018</v>
      </c>
    </row>
    <row r="538" spans="1:11" x14ac:dyDescent="0.3">
      <c r="A538">
        <v>107</v>
      </c>
      <c r="B538" s="1" t="s">
        <v>171</v>
      </c>
      <c r="C538" s="1" t="s">
        <v>90</v>
      </c>
      <c r="D538">
        <v>467120</v>
      </c>
      <c r="E538" s="3">
        <v>327954</v>
      </c>
      <c r="F538">
        <v>32795</v>
      </c>
      <c r="G538">
        <v>55</v>
      </c>
      <c r="H538">
        <v>64394</v>
      </c>
      <c r="I538">
        <v>24498</v>
      </c>
      <c r="J538">
        <v>22530</v>
      </c>
      <c r="K538">
        <v>2018</v>
      </c>
    </row>
    <row r="539" spans="1:11" x14ac:dyDescent="0.3">
      <c r="A539">
        <v>56</v>
      </c>
      <c r="B539" s="1" t="s">
        <v>83</v>
      </c>
      <c r="C539" s="1" t="s">
        <v>26</v>
      </c>
      <c r="D539">
        <v>588980</v>
      </c>
      <c r="E539" s="3">
        <v>496379</v>
      </c>
      <c r="F539">
        <v>49638</v>
      </c>
      <c r="G539">
        <v>68</v>
      </c>
      <c r="H539">
        <v>79405</v>
      </c>
      <c r="I539">
        <v>16111</v>
      </c>
      <c r="J539">
        <v>6848</v>
      </c>
      <c r="K539">
        <v>2018</v>
      </c>
    </row>
    <row r="540" spans="1:11" x14ac:dyDescent="0.3">
      <c r="A540">
        <v>54</v>
      </c>
      <c r="B540" s="1" t="s">
        <v>64</v>
      </c>
      <c r="C540" s="1" t="s">
        <v>55</v>
      </c>
      <c r="D540">
        <v>591500</v>
      </c>
      <c r="E540" s="3">
        <v>784820</v>
      </c>
      <c r="F540">
        <v>78482</v>
      </c>
      <c r="G540">
        <v>75</v>
      </c>
      <c r="H540">
        <v>76331</v>
      </c>
      <c r="I540">
        <v>13154</v>
      </c>
      <c r="J540">
        <v>32754</v>
      </c>
      <c r="K540">
        <v>2018</v>
      </c>
    </row>
    <row r="541" spans="1:11" x14ac:dyDescent="0.3">
      <c r="A541">
        <v>90</v>
      </c>
      <c r="B541" s="1" t="s">
        <v>103</v>
      </c>
      <c r="C541" s="1" t="s">
        <v>24</v>
      </c>
      <c r="D541">
        <v>516070</v>
      </c>
      <c r="E541" s="3">
        <v>498216</v>
      </c>
      <c r="F541">
        <v>49822</v>
      </c>
      <c r="G541">
        <v>67</v>
      </c>
      <c r="H541">
        <v>64574</v>
      </c>
      <c r="I541">
        <v>21729</v>
      </c>
      <c r="J541">
        <v>29362</v>
      </c>
      <c r="K541">
        <v>2018</v>
      </c>
    </row>
    <row r="542" spans="1:11" x14ac:dyDescent="0.3">
      <c r="A542">
        <v>60</v>
      </c>
      <c r="B542" s="1" t="s">
        <v>72</v>
      </c>
      <c r="C542" s="1" t="s">
        <v>62</v>
      </c>
      <c r="D542">
        <v>579010</v>
      </c>
      <c r="E542" s="3">
        <v>692895</v>
      </c>
      <c r="F542">
        <v>69290</v>
      </c>
      <c r="G542">
        <v>67</v>
      </c>
      <c r="H542">
        <v>62611</v>
      </c>
      <c r="I542">
        <v>24699</v>
      </c>
      <c r="J542">
        <v>26414</v>
      </c>
      <c r="K542">
        <v>2018</v>
      </c>
    </row>
    <row r="543" spans="1:11" x14ac:dyDescent="0.3">
      <c r="A543">
        <v>124</v>
      </c>
      <c r="B543" s="1" t="s">
        <v>145</v>
      </c>
      <c r="C543" s="1" t="s">
        <v>90</v>
      </c>
      <c r="D543">
        <v>440970</v>
      </c>
      <c r="E543" s="3">
        <v>298993</v>
      </c>
      <c r="F543">
        <v>29899</v>
      </c>
      <c r="G543">
        <v>63</v>
      </c>
      <c r="H543">
        <v>69526</v>
      </c>
      <c r="I543">
        <v>58984</v>
      </c>
      <c r="J543">
        <v>12066</v>
      </c>
      <c r="K543">
        <v>2018</v>
      </c>
    </row>
    <row r="544" spans="1:11" x14ac:dyDescent="0.3">
      <c r="A544">
        <v>66</v>
      </c>
      <c r="B544" s="1" t="s">
        <v>87</v>
      </c>
      <c r="C544" s="1" t="s">
        <v>47</v>
      </c>
      <c r="D544">
        <v>566210</v>
      </c>
      <c r="E544" s="3">
        <v>518360</v>
      </c>
      <c r="F544">
        <v>51836</v>
      </c>
      <c r="G544">
        <v>66</v>
      </c>
      <c r="H544">
        <v>61861</v>
      </c>
      <c r="I544">
        <v>45827</v>
      </c>
      <c r="J544">
        <v>5025</v>
      </c>
      <c r="K544">
        <v>2018</v>
      </c>
    </row>
    <row r="545" spans="1:11" x14ac:dyDescent="0.3">
      <c r="A545">
        <v>45</v>
      </c>
      <c r="B545" s="1" t="s">
        <v>56</v>
      </c>
      <c r="C545" s="1" t="s">
        <v>24</v>
      </c>
      <c r="D545">
        <v>608340</v>
      </c>
      <c r="E545" s="3">
        <v>893673</v>
      </c>
      <c r="F545">
        <v>89367</v>
      </c>
      <c r="G545">
        <v>68</v>
      </c>
      <c r="H545">
        <v>76508</v>
      </c>
      <c r="I545">
        <v>28009</v>
      </c>
      <c r="J545">
        <v>23236</v>
      </c>
      <c r="K545">
        <v>2018</v>
      </c>
    </row>
    <row r="546" spans="1:11" x14ac:dyDescent="0.3">
      <c r="A546">
        <v>92</v>
      </c>
      <c r="B546" s="1" t="s">
        <v>96</v>
      </c>
      <c r="C546" s="1" t="s">
        <v>62</v>
      </c>
      <c r="D546">
        <v>513080</v>
      </c>
      <c r="E546" s="3">
        <v>321183</v>
      </c>
      <c r="F546">
        <v>32118</v>
      </c>
      <c r="G546">
        <v>66</v>
      </c>
      <c r="H546">
        <v>74521</v>
      </c>
      <c r="I546">
        <v>46971</v>
      </c>
      <c r="J546">
        <v>7567</v>
      </c>
      <c r="K546">
        <v>2018</v>
      </c>
    </row>
    <row r="547" spans="1:11" x14ac:dyDescent="0.3">
      <c r="A547">
        <v>110</v>
      </c>
      <c r="B547" s="1" t="s">
        <v>119</v>
      </c>
      <c r="C547" s="1" t="s">
        <v>55</v>
      </c>
      <c r="D547">
        <v>462310</v>
      </c>
      <c r="E547" s="3">
        <v>436469</v>
      </c>
      <c r="F547">
        <v>43647</v>
      </c>
      <c r="G547">
        <v>63</v>
      </c>
      <c r="H547">
        <v>86436</v>
      </c>
      <c r="I547">
        <v>38437</v>
      </c>
      <c r="J547">
        <v>38006</v>
      </c>
      <c r="K547">
        <v>2018</v>
      </c>
    </row>
    <row r="548" spans="1:11" x14ac:dyDescent="0.3">
      <c r="A548">
        <v>53</v>
      </c>
      <c r="B548" s="1" t="s">
        <v>109</v>
      </c>
      <c r="C548" s="1" t="s">
        <v>12</v>
      </c>
      <c r="D548">
        <v>593310</v>
      </c>
      <c r="E548" s="3">
        <v>696159</v>
      </c>
      <c r="F548">
        <v>69616</v>
      </c>
      <c r="G548">
        <v>68</v>
      </c>
      <c r="H548">
        <v>50098</v>
      </c>
      <c r="I548">
        <v>15337</v>
      </c>
      <c r="J548">
        <v>14516</v>
      </c>
      <c r="K548">
        <v>2018</v>
      </c>
    </row>
    <row r="549" spans="1:11" x14ac:dyDescent="0.3">
      <c r="A549">
        <v>88</v>
      </c>
      <c r="B549" s="1" t="s">
        <v>123</v>
      </c>
      <c r="C549" s="1" t="s">
        <v>24</v>
      </c>
      <c r="D549">
        <v>519890</v>
      </c>
      <c r="E549" s="3">
        <v>584904</v>
      </c>
      <c r="F549">
        <v>58490</v>
      </c>
      <c r="G549">
        <v>70</v>
      </c>
      <c r="H549">
        <v>40257</v>
      </c>
      <c r="I549">
        <v>31214</v>
      </c>
      <c r="J549">
        <v>7353</v>
      </c>
      <c r="K549">
        <v>2018</v>
      </c>
    </row>
    <row r="550" spans="1:11" x14ac:dyDescent="0.3">
      <c r="A550">
        <v>141</v>
      </c>
      <c r="B550" s="1" t="s">
        <v>117</v>
      </c>
      <c r="C550" s="1" t="s">
        <v>90</v>
      </c>
      <c r="D550">
        <v>380820</v>
      </c>
      <c r="E550" s="3">
        <v>286516</v>
      </c>
      <c r="F550">
        <v>28652</v>
      </c>
      <c r="G550">
        <v>55</v>
      </c>
      <c r="H550">
        <v>58379</v>
      </c>
      <c r="I550">
        <v>19347</v>
      </c>
      <c r="J550">
        <v>24401</v>
      </c>
      <c r="K550">
        <v>2018</v>
      </c>
    </row>
    <row r="551" spans="1:11" x14ac:dyDescent="0.3">
      <c r="A551">
        <v>149</v>
      </c>
      <c r="B551" s="1" t="s">
        <v>136</v>
      </c>
      <c r="C551" s="1" t="s">
        <v>90</v>
      </c>
      <c r="D551">
        <v>349540</v>
      </c>
      <c r="E551" s="3">
        <v>45922</v>
      </c>
      <c r="F551">
        <v>4592</v>
      </c>
      <c r="G551">
        <v>59</v>
      </c>
      <c r="H551">
        <v>57819</v>
      </c>
      <c r="I551">
        <v>34407</v>
      </c>
      <c r="J551">
        <v>6570</v>
      </c>
      <c r="K551">
        <v>2018</v>
      </c>
    </row>
    <row r="552" spans="1:11" x14ac:dyDescent="0.3">
      <c r="A552">
        <v>70</v>
      </c>
      <c r="B552" s="1" t="s">
        <v>81</v>
      </c>
      <c r="C552" s="1" t="s">
        <v>24</v>
      </c>
      <c r="D552">
        <v>556570</v>
      </c>
      <c r="E552" s="3">
        <v>597401</v>
      </c>
      <c r="F552">
        <v>59740</v>
      </c>
      <c r="G552">
        <v>65</v>
      </c>
      <c r="H552">
        <v>68453</v>
      </c>
      <c r="I552">
        <v>19333</v>
      </c>
      <c r="J552">
        <v>32432</v>
      </c>
      <c r="K552">
        <v>2018</v>
      </c>
    </row>
    <row r="553" spans="1:11" x14ac:dyDescent="0.3">
      <c r="A553">
        <v>50</v>
      </c>
      <c r="B553" s="1" t="s">
        <v>74</v>
      </c>
      <c r="C553" s="1" t="s">
        <v>12</v>
      </c>
      <c r="D553">
        <v>595190</v>
      </c>
      <c r="E553" s="3">
        <v>725776</v>
      </c>
      <c r="F553">
        <v>72578</v>
      </c>
      <c r="G553">
        <v>69</v>
      </c>
      <c r="H553">
        <v>48291</v>
      </c>
      <c r="I553">
        <v>4378</v>
      </c>
      <c r="J553">
        <v>1391</v>
      </c>
      <c r="K553">
        <v>2018</v>
      </c>
    </row>
    <row r="554" spans="1:11" x14ac:dyDescent="0.3">
      <c r="A554">
        <v>17</v>
      </c>
      <c r="B554" s="1" t="s">
        <v>31</v>
      </c>
      <c r="C554" s="1" t="s">
        <v>12</v>
      </c>
      <c r="D554">
        <v>690990</v>
      </c>
      <c r="E554" s="3">
        <v>955748</v>
      </c>
      <c r="F554">
        <v>95575</v>
      </c>
      <c r="G554">
        <v>73</v>
      </c>
      <c r="H554">
        <v>87238</v>
      </c>
      <c r="I554">
        <v>32808</v>
      </c>
      <c r="J554">
        <v>70243</v>
      </c>
      <c r="K554">
        <v>2018</v>
      </c>
    </row>
    <row r="555" spans="1:11" x14ac:dyDescent="0.3">
      <c r="A555">
        <v>89</v>
      </c>
      <c r="B555" s="1" t="s">
        <v>113</v>
      </c>
      <c r="C555" s="1" t="s">
        <v>47</v>
      </c>
      <c r="D555">
        <v>518480</v>
      </c>
      <c r="E555" s="3">
        <v>581755</v>
      </c>
      <c r="F555">
        <v>58176</v>
      </c>
      <c r="G555">
        <v>68</v>
      </c>
      <c r="H555">
        <v>54451</v>
      </c>
      <c r="I555">
        <v>28988</v>
      </c>
      <c r="J555">
        <v>11480</v>
      </c>
      <c r="K555">
        <v>2018</v>
      </c>
    </row>
    <row r="556" spans="1:11" x14ac:dyDescent="0.3">
      <c r="A556">
        <v>143</v>
      </c>
      <c r="B556" s="1" t="s">
        <v>167</v>
      </c>
      <c r="C556" s="1" t="s">
        <v>90</v>
      </c>
      <c r="D556">
        <v>377360</v>
      </c>
      <c r="E556" s="3">
        <v>159086</v>
      </c>
      <c r="F556">
        <v>15909</v>
      </c>
      <c r="G556">
        <v>62</v>
      </c>
      <c r="H556">
        <v>30514</v>
      </c>
      <c r="I556">
        <v>25867</v>
      </c>
      <c r="J556">
        <v>10621</v>
      </c>
      <c r="K556">
        <v>2018</v>
      </c>
    </row>
    <row r="557" spans="1:11" x14ac:dyDescent="0.3">
      <c r="A557">
        <v>147</v>
      </c>
      <c r="B557" s="1" t="s">
        <v>151</v>
      </c>
      <c r="C557" s="1" t="s">
        <v>90</v>
      </c>
      <c r="D557">
        <v>358680</v>
      </c>
      <c r="E557" s="3">
        <v>112839</v>
      </c>
      <c r="F557">
        <v>11284</v>
      </c>
      <c r="G557">
        <v>60</v>
      </c>
      <c r="H557">
        <v>73231</v>
      </c>
      <c r="I557">
        <v>35196</v>
      </c>
      <c r="J557">
        <v>17561</v>
      </c>
      <c r="K557">
        <v>2018</v>
      </c>
    </row>
    <row r="558" spans="1:11" x14ac:dyDescent="0.3">
      <c r="A558">
        <v>35</v>
      </c>
      <c r="B558" s="1" t="s">
        <v>79</v>
      </c>
      <c r="C558" s="1" t="s">
        <v>39</v>
      </c>
      <c r="D558">
        <v>632210</v>
      </c>
      <c r="E558" s="3">
        <v>704231</v>
      </c>
      <c r="F558">
        <v>70423</v>
      </c>
      <c r="G558">
        <v>68</v>
      </c>
      <c r="H558">
        <v>49160</v>
      </c>
      <c r="I558">
        <v>52117</v>
      </c>
      <c r="J558">
        <v>12945</v>
      </c>
      <c r="K558">
        <v>2018</v>
      </c>
    </row>
    <row r="559" spans="1:11" x14ac:dyDescent="0.3">
      <c r="A559">
        <v>118</v>
      </c>
      <c r="B559" s="1" t="s">
        <v>158</v>
      </c>
      <c r="C559" s="1" t="s">
        <v>90</v>
      </c>
      <c r="D559">
        <v>444700</v>
      </c>
      <c r="E559" s="3">
        <v>224252</v>
      </c>
      <c r="F559">
        <v>22425</v>
      </c>
      <c r="G559">
        <v>56</v>
      </c>
      <c r="H559">
        <v>50698</v>
      </c>
      <c r="I559">
        <v>23319</v>
      </c>
      <c r="J559">
        <v>12232</v>
      </c>
      <c r="K559">
        <v>2018</v>
      </c>
    </row>
    <row r="560" spans="1:11" x14ac:dyDescent="0.3">
      <c r="A560">
        <v>22</v>
      </c>
      <c r="B560" s="1" t="s">
        <v>53</v>
      </c>
      <c r="C560" s="1" t="s">
        <v>12</v>
      </c>
      <c r="D560">
        <v>662660</v>
      </c>
      <c r="E560" s="3">
        <v>770260</v>
      </c>
      <c r="F560">
        <v>77026</v>
      </c>
      <c r="G560">
        <v>72</v>
      </c>
      <c r="H560">
        <v>89076</v>
      </c>
      <c r="I560">
        <v>62889</v>
      </c>
      <c r="J560">
        <v>31128</v>
      </c>
      <c r="K560">
        <v>2018</v>
      </c>
    </row>
    <row r="561" spans="1:11" x14ac:dyDescent="0.3">
      <c r="A561">
        <v>126</v>
      </c>
      <c r="B561" s="1" t="s">
        <v>144</v>
      </c>
      <c r="C561" s="1" t="s">
        <v>24</v>
      </c>
      <c r="D561">
        <v>435550</v>
      </c>
      <c r="E561" s="3">
        <v>337786</v>
      </c>
      <c r="F561">
        <v>33779</v>
      </c>
      <c r="G561">
        <v>59</v>
      </c>
      <c r="H561">
        <v>17742</v>
      </c>
      <c r="I561">
        <v>22454</v>
      </c>
      <c r="J561">
        <v>20422</v>
      </c>
      <c r="K561">
        <v>2018</v>
      </c>
    </row>
    <row r="562" spans="1:11" x14ac:dyDescent="0.3">
      <c r="A562">
        <v>55</v>
      </c>
      <c r="B562" s="1" t="s">
        <v>89</v>
      </c>
      <c r="C562" s="1" t="s">
        <v>90</v>
      </c>
      <c r="D562">
        <v>589150</v>
      </c>
      <c r="E562" s="3">
        <v>661070</v>
      </c>
      <c r="F562">
        <v>66107</v>
      </c>
      <c r="G562">
        <v>68</v>
      </c>
      <c r="H562">
        <v>80596</v>
      </c>
      <c r="I562">
        <v>41003</v>
      </c>
      <c r="J562">
        <v>10917</v>
      </c>
      <c r="K562">
        <v>2018</v>
      </c>
    </row>
    <row r="563" spans="1:11" x14ac:dyDescent="0.3">
      <c r="A563">
        <v>24</v>
      </c>
      <c r="B563" s="1" t="s">
        <v>28</v>
      </c>
      <c r="C563" s="1" t="s">
        <v>26</v>
      </c>
      <c r="D563">
        <v>648820</v>
      </c>
      <c r="E563" s="3">
        <v>629594</v>
      </c>
      <c r="F563">
        <v>62959</v>
      </c>
      <c r="G563">
        <v>70</v>
      </c>
      <c r="H563">
        <v>66142</v>
      </c>
      <c r="I563">
        <v>11494</v>
      </c>
      <c r="J563">
        <v>20724</v>
      </c>
      <c r="K563">
        <v>2018</v>
      </c>
    </row>
    <row r="564" spans="1:11" x14ac:dyDescent="0.3">
      <c r="A564">
        <v>67</v>
      </c>
      <c r="B564" s="1" t="s">
        <v>70</v>
      </c>
      <c r="C564" s="1" t="s">
        <v>47</v>
      </c>
      <c r="D564">
        <v>563970</v>
      </c>
      <c r="E564" s="3">
        <v>398173</v>
      </c>
      <c r="F564">
        <v>39817</v>
      </c>
      <c r="G564">
        <v>67</v>
      </c>
      <c r="H564">
        <v>32046</v>
      </c>
      <c r="I564">
        <v>28607</v>
      </c>
      <c r="J564">
        <v>71</v>
      </c>
      <c r="K564">
        <v>2018</v>
      </c>
    </row>
    <row r="565" spans="1:11" x14ac:dyDescent="0.3">
      <c r="A565">
        <v>94</v>
      </c>
      <c r="B565" s="1" t="s">
        <v>120</v>
      </c>
      <c r="C565" s="1" t="s">
        <v>55</v>
      </c>
      <c r="D565">
        <v>512460</v>
      </c>
      <c r="E565" s="3">
        <v>554363</v>
      </c>
      <c r="F565">
        <v>55436</v>
      </c>
      <c r="G565">
        <v>66</v>
      </c>
      <c r="H565">
        <v>54540</v>
      </c>
      <c r="I565">
        <v>42312</v>
      </c>
      <c r="J565">
        <v>6940</v>
      </c>
      <c r="K565">
        <v>2018</v>
      </c>
    </row>
    <row r="566" spans="1:11" x14ac:dyDescent="0.3">
      <c r="A566">
        <v>81</v>
      </c>
      <c r="B566" s="1" t="s">
        <v>102</v>
      </c>
      <c r="C566" s="1" t="s">
        <v>47</v>
      </c>
      <c r="D566">
        <v>534750</v>
      </c>
      <c r="E566" s="3">
        <v>616886</v>
      </c>
      <c r="F566">
        <v>61689</v>
      </c>
      <c r="G566">
        <v>69</v>
      </c>
      <c r="H566">
        <v>35787</v>
      </c>
      <c r="I566">
        <v>18644</v>
      </c>
      <c r="J566">
        <v>17823</v>
      </c>
      <c r="K566">
        <v>2018</v>
      </c>
    </row>
    <row r="567" spans="1:11" x14ac:dyDescent="0.3">
      <c r="A567">
        <v>85</v>
      </c>
      <c r="B567" s="1" t="s">
        <v>112</v>
      </c>
      <c r="C567" s="1" t="s">
        <v>24</v>
      </c>
      <c r="D567">
        <v>525370</v>
      </c>
      <c r="E567" s="3">
        <v>472266</v>
      </c>
      <c r="F567">
        <v>47227</v>
      </c>
      <c r="G567">
        <v>68</v>
      </c>
      <c r="H567">
        <v>63510</v>
      </c>
      <c r="I567">
        <v>4417</v>
      </c>
      <c r="J567">
        <v>16250</v>
      </c>
      <c r="K567">
        <v>2018</v>
      </c>
    </row>
    <row r="568" spans="1:11" x14ac:dyDescent="0.3">
      <c r="A568">
        <v>123</v>
      </c>
      <c r="B568" s="1" t="s">
        <v>114</v>
      </c>
      <c r="C568" s="1" t="s">
        <v>90</v>
      </c>
      <c r="D568">
        <v>441660</v>
      </c>
      <c r="E568" s="3">
        <v>120071</v>
      </c>
      <c r="F568">
        <v>12007</v>
      </c>
      <c r="G568">
        <v>57</v>
      </c>
      <c r="H568">
        <v>73276</v>
      </c>
      <c r="I568">
        <v>34411</v>
      </c>
      <c r="J568">
        <v>34628</v>
      </c>
      <c r="K568">
        <v>2018</v>
      </c>
    </row>
    <row r="569" spans="1:11" x14ac:dyDescent="0.3">
      <c r="A569">
        <v>130</v>
      </c>
      <c r="B569" s="1" t="s">
        <v>149</v>
      </c>
      <c r="C569" s="1" t="s">
        <v>39</v>
      </c>
      <c r="D569">
        <v>430780</v>
      </c>
      <c r="E569" s="3">
        <v>413651</v>
      </c>
      <c r="F569">
        <v>41365</v>
      </c>
      <c r="G569">
        <v>62</v>
      </c>
      <c r="H569">
        <v>80008</v>
      </c>
      <c r="I569">
        <v>100000</v>
      </c>
      <c r="J569">
        <v>38965</v>
      </c>
      <c r="K569">
        <v>2018</v>
      </c>
    </row>
    <row r="570" spans="1:11" x14ac:dyDescent="0.3">
      <c r="A570">
        <v>119</v>
      </c>
      <c r="B570" s="1" t="s">
        <v>181</v>
      </c>
      <c r="C570" s="1" t="s">
        <v>90</v>
      </c>
      <c r="D570">
        <v>444130</v>
      </c>
      <c r="E570" s="3">
        <v>529893</v>
      </c>
      <c r="F570">
        <v>52989</v>
      </c>
      <c r="G570">
        <v>61</v>
      </c>
      <c r="H570">
        <v>71678</v>
      </c>
      <c r="I570">
        <v>8472</v>
      </c>
      <c r="J570">
        <v>14045</v>
      </c>
      <c r="K570">
        <v>2018</v>
      </c>
    </row>
    <row r="571" spans="1:11" x14ac:dyDescent="0.3">
      <c r="A571">
        <v>101</v>
      </c>
      <c r="B571" s="1" t="s">
        <v>141</v>
      </c>
      <c r="C571" s="1" t="s">
        <v>99</v>
      </c>
      <c r="D571">
        <v>488040</v>
      </c>
      <c r="E571" s="3">
        <v>257953</v>
      </c>
      <c r="F571">
        <v>25795</v>
      </c>
      <c r="G571">
        <v>65</v>
      </c>
      <c r="H571">
        <v>72622</v>
      </c>
      <c r="I571">
        <v>50541</v>
      </c>
      <c r="J571">
        <v>17043</v>
      </c>
      <c r="K571">
        <v>2018</v>
      </c>
    </row>
    <row r="572" spans="1:11" x14ac:dyDescent="0.3">
      <c r="A572">
        <v>6</v>
      </c>
      <c r="B572" s="1" t="s">
        <v>19</v>
      </c>
      <c r="C572" s="1" t="s">
        <v>12</v>
      </c>
      <c r="D572">
        <v>744130</v>
      </c>
      <c r="E572" s="3">
        <v>825267</v>
      </c>
      <c r="F572">
        <v>82527</v>
      </c>
      <c r="G572">
        <v>72</v>
      </c>
      <c r="H572">
        <v>88072</v>
      </c>
      <c r="I572">
        <v>55786</v>
      </c>
      <c r="J572">
        <v>64467</v>
      </c>
      <c r="K572">
        <v>2018</v>
      </c>
    </row>
    <row r="573" spans="1:11" x14ac:dyDescent="0.3">
      <c r="A573">
        <v>8</v>
      </c>
      <c r="B573" s="1" t="s">
        <v>21</v>
      </c>
      <c r="C573" s="1" t="s">
        <v>17</v>
      </c>
      <c r="D573">
        <v>732380</v>
      </c>
      <c r="E573" s="3">
        <v>768935</v>
      </c>
      <c r="F573">
        <v>76894</v>
      </c>
      <c r="G573">
        <v>72</v>
      </c>
      <c r="H573">
        <v>92324</v>
      </c>
      <c r="I573">
        <v>61109</v>
      </c>
      <c r="J573">
        <v>85091</v>
      </c>
      <c r="K573">
        <v>2018</v>
      </c>
    </row>
    <row r="574" spans="1:11" x14ac:dyDescent="0.3">
      <c r="A574">
        <v>41</v>
      </c>
      <c r="B574" s="1" t="s">
        <v>75</v>
      </c>
      <c r="C574" s="1" t="s">
        <v>26</v>
      </c>
      <c r="D574">
        <v>614100</v>
      </c>
      <c r="E574" s="3">
        <v>405262</v>
      </c>
      <c r="F574">
        <v>40526</v>
      </c>
      <c r="G574">
        <v>68</v>
      </c>
      <c r="H574">
        <v>72707</v>
      </c>
      <c r="I574">
        <v>34752</v>
      </c>
      <c r="J574">
        <v>28115</v>
      </c>
      <c r="K574">
        <v>2018</v>
      </c>
    </row>
    <row r="575" spans="1:11" x14ac:dyDescent="0.3">
      <c r="A575">
        <v>134</v>
      </c>
      <c r="B575" s="1" t="s">
        <v>164</v>
      </c>
      <c r="C575" s="1" t="s">
        <v>90</v>
      </c>
      <c r="D575">
        <v>416550</v>
      </c>
      <c r="E575" s="3">
        <v>79653</v>
      </c>
      <c r="F575">
        <v>7965</v>
      </c>
      <c r="G575">
        <v>58</v>
      </c>
      <c r="H575">
        <v>53802</v>
      </c>
      <c r="I575">
        <v>29345</v>
      </c>
      <c r="J575">
        <v>21643</v>
      </c>
      <c r="K575">
        <v>2018</v>
      </c>
    </row>
    <row r="576" spans="1:11" x14ac:dyDescent="0.3">
      <c r="A576">
        <v>91</v>
      </c>
      <c r="B576" s="1" t="s">
        <v>97</v>
      </c>
      <c r="C576" s="1" t="s">
        <v>90</v>
      </c>
      <c r="D576">
        <v>515540</v>
      </c>
      <c r="E576" s="3">
        <v>417888</v>
      </c>
      <c r="F576">
        <v>41789</v>
      </c>
      <c r="G576">
        <v>54</v>
      </c>
      <c r="H576">
        <v>63750</v>
      </c>
      <c r="I576">
        <v>33643</v>
      </c>
      <c r="J576">
        <v>6948</v>
      </c>
      <c r="K576">
        <v>2018</v>
      </c>
    </row>
    <row r="577" spans="1:11" x14ac:dyDescent="0.3">
      <c r="A577">
        <v>2</v>
      </c>
      <c r="B577" s="1" t="s">
        <v>15</v>
      </c>
      <c r="C577" s="1" t="s">
        <v>12</v>
      </c>
      <c r="D577">
        <v>759370</v>
      </c>
      <c r="E577" s="3">
        <v>882704</v>
      </c>
      <c r="F577">
        <v>88270</v>
      </c>
      <c r="G577">
        <v>72</v>
      </c>
      <c r="H577">
        <v>94747</v>
      </c>
      <c r="I577">
        <v>47800</v>
      </c>
      <c r="J577">
        <v>74335</v>
      </c>
      <c r="K577">
        <v>2018</v>
      </c>
    </row>
    <row r="578" spans="1:11" x14ac:dyDescent="0.3">
      <c r="A578">
        <v>75</v>
      </c>
      <c r="B578" s="1" t="s">
        <v>101</v>
      </c>
      <c r="C578" s="1" t="s">
        <v>99</v>
      </c>
      <c r="D578">
        <v>547250</v>
      </c>
      <c r="E578" s="3">
        <v>395645</v>
      </c>
      <c r="F578">
        <v>39565</v>
      </c>
      <c r="G578">
        <v>62</v>
      </c>
      <c r="H578">
        <v>46150</v>
      </c>
      <c r="I578">
        <v>36160</v>
      </c>
      <c r="J578">
        <v>24792</v>
      </c>
      <c r="K578">
        <v>2018</v>
      </c>
    </row>
    <row r="579" spans="1:11" x14ac:dyDescent="0.3">
      <c r="A579">
        <v>104</v>
      </c>
      <c r="B579" s="1" t="s">
        <v>128</v>
      </c>
      <c r="C579" s="1" t="s">
        <v>24</v>
      </c>
      <c r="D579">
        <v>474330</v>
      </c>
      <c r="E579" s="3">
        <v>389563</v>
      </c>
      <c r="F579">
        <v>38956</v>
      </c>
      <c r="G579">
        <v>66</v>
      </c>
      <c r="H579">
        <v>36738</v>
      </c>
      <c r="I579">
        <v>14384</v>
      </c>
      <c r="J579">
        <v>16731</v>
      </c>
      <c r="K579">
        <v>2018</v>
      </c>
    </row>
    <row r="580" spans="1:11" x14ac:dyDescent="0.3">
      <c r="A580">
        <v>27</v>
      </c>
      <c r="B580" s="1" t="s">
        <v>40</v>
      </c>
      <c r="C580" s="1" t="s">
        <v>26</v>
      </c>
      <c r="D580">
        <v>643000</v>
      </c>
      <c r="E580" s="3">
        <v>674448</v>
      </c>
      <c r="F580">
        <v>67445</v>
      </c>
      <c r="G580">
        <v>70</v>
      </c>
      <c r="H580">
        <v>82386</v>
      </c>
      <c r="I580">
        <v>20836</v>
      </c>
      <c r="J580">
        <v>13806</v>
      </c>
      <c r="K580">
        <v>2018</v>
      </c>
    </row>
    <row r="581" spans="1:11" x14ac:dyDescent="0.3">
      <c r="A581">
        <v>64</v>
      </c>
      <c r="B581" s="1" t="s">
        <v>71</v>
      </c>
      <c r="C581" s="1" t="s">
        <v>26</v>
      </c>
      <c r="D581">
        <v>568060</v>
      </c>
      <c r="E581" s="3">
        <v>506096</v>
      </c>
      <c r="F581">
        <v>50610</v>
      </c>
      <c r="G581">
        <v>66</v>
      </c>
      <c r="H581">
        <v>74611</v>
      </c>
      <c r="I581">
        <v>27112</v>
      </c>
      <c r="J581">
        <v>16204</v>
      </c>
      <c r="K581">
        <v>2018</v>
      </c>
    </row>
    <row r="582" spans="1:11" x14ac:dyDescent="0.3">
      <c r="A582">
        <v>65</v>
      </c>
      <c r="B582" s="1" t="s">
        <v>76</v>
      </c>
      <c r="C582" s="1" t="s">
        <v>26</v>
      </c>
      <c r="D582">
        <v>566320</v>
      </c>
      <c r="E582" s="3">
        <v>566092</v>
      </c>
      <c r="F582">
        <v>56609</v>
      </c>
      <c r="G582">
        <v>68</v>
      </c>
      <c r="H582">
        <v>73153</v>
      </c>
      <c r="I582">
        <v>15321</v>
      </c>
      <c r="J582">
        <v>7477</v>
      </c>
      <c r="K582">
        <v>2018</v>
      </c>
    </row>
    <row r="583" spans="1:11" x14ac:dyDescent="0.3">
      <c r="A583">
        <v>71</v>
      </c>
      <c r="B583" s="1" t="s">
        <v>110</v>
      </c>
      <c r="C583" s="1" t="s">
        <v>39</v>
      </c>
      <c r="D583">
        <v>552410</v>
      </c>
      <c r="E583" s="3">
        <v>470173</v>
      </c>
      <c r="F583">
        <v>47017</v>
      </c>
      <c r="G583">
        <v>64</v>
      </c>
      <c r="H583">
        <v>88732</v>
      </c>
      <c r="I583">
        <v>20069</v>
      </c>
      <c r="J583">
        <v>23016</v>
      </c>
      <c r="K583">
        <v>2018</v>
      </c>
    </row>
    <row r="584" spans="1:11" x14ac:dyDescent="0.3">
      <c r="A584">
        <v>42</v>
      </c>
      <c r="B584" s="1" t="s">
        <v>78</v>
      </c>
      <c r="C584" s="1" t="s">
        <v>47</v>
      </c>
      <c r="D584">
        <v>612300</v>
      </c>
      <c r="E584" s="3">
        <v>712858</v>
      </c>
      <c r="F584">
        <v>71286</v>
      </c>
      <c r="G584">
        <v>70</v>
      </c>
      <c r="H584">
        <v>75327</v>
      </c>
      <c r="I584">
        <v>18002</v>
      </c>
      <c r="J584">
        <v>13975</v>
      </c>
      <c r="K584">
        <v>2018</v>
      </c>
    </row>
    <row r="585" spans="1:11" x14ac:dyDescent="0.3">
      <c r="A585">
        <v>77</v>
      </c>
      <c r="B585" s="1" t="s">
        <v>108</v>
      </c>
      <c r="C585" s="1" t="s">
        <v>12</v>
      </c>
      <c r="D585">
        <v>541040</v>
      </c>
      <c r="E585" s="3">
        <v>720119</v>
      </c>
      <c r="F585">
        <v>72012</v>
      </c>
      <c r="G585">
        <v>72</v>
      </c>
      <c r="H585">
        <v>77578</v>
      </c>
      <c r="I585">
        <v>9189</v>
      </c>
      <c r="J585">
        <v>3637</v>
      </c>
      <c r="K585">
        <v>2018</v>
      </c>
    </row>
    <row r="586" spans="1:11" x14ac:dyDescent="0.3">
      <c r="A586">
        <v>32</v>
      </c>
      <c r="B586" s="1" t="s">
        <v>43</v>
      </c>
      <c r="C586" s="1" t="s">
        <v>24</v>
      </c>
      <c r="D586">
        <v>637450</v>
      </c>
      <c r="E586" s="3">
        <v>1000000</v>
      </c>
      <c r="F586">
        <v>100000</v>
      </c>
      <c r="G586">
        <v>69</v>
      </c>
      <c r="H586">
        <v>90279</v>
      </c>
      <c r="I586">
        <v>42923</v>
      </c>
      <c r="J586">
        <v>37321</v>
      </c>
      <c r="K586">
        <v>2018</v>
      </c>
    </row>
    <row r="587" spans="1:11" x14ac:dyDescent="0.3">
      <c r="A587">
        <v>52</v>
      </c>
      <c r="B587" s="1" t="s">
        <v>106</v>
      </c>
      <c r="C587" s="1" t="s">
        <v>47</v>
      </c>
      <c r="D587">
        <v>594520</v>
      </c>
      <c r="E587" s="3">
        <v>676524</v>
      </c>
      <c r="F587">
        <v>67652</v>
      </c>
      <c r="G587">
        <v>69</v>
      </c>
      <c r="H587">
        <v>72814</v>
      </c>
      <c r="I587">
        <v>14652</v>
      </c>
      <c r="J587">
        <v>151</v>
      </c>
      <c r="K587">
        <v>2018</v>
      </c>
    </row>
    <row r="588" spans="1:11" x14ac:dyDescent="0.3">
      <c r="A588">
        <v>59</v>
      </c>
      <c r="B588" s="1" t="s">
        <v>82</v>
      </c>
      <c r="C588" s="1" t="s">
        <v>62</v>
      </c>
      <c r="D588">
        <v>580970</v>
      </c>
      <c r="E588" s="3">
        <v>698035</v>
      </c>
      <c r="F588">
        <v>69803</v>
      </c>
      <c r="G588">
        <v>66</v>
      </c>
      <c r="H588">
        <v>55114</v>
      </c>
      <c r="I588">
        <v>10887</v>
      </c>
      <c r="J588">
        <v>5552</v>
      </c>
      <c r="K588">
        <v>2018</v>
      </c>
    </row>
    <row r="589" spans="1:11" x14ac:dyDescent="0.3">
      <c r="A589">
        <v>151</v>
      </c>
      <c r="B589" s="1" t="s">
        <v>174</v>
      </c>
      <c r="C589" s="1" t="s">
        <v>90</v>
      </c>
      <c r="D589">
        <v>340810</v>
      </c>
      <c r="E589" s="3">
        <v>201526</v>
      </c>
      <c r="F589">
        <v>20153</v>
      </c>
      <c r="G589">
        <v>62</v>
      </c>
      <c r="H589">
        <v>87775</v>
      </c>
      <c r="I589">
        <v>33420</v>
      </c>
      <c r="J589">
        <v>97269</v>
      </c>
      <c r="K589">
        <v>2018</v>
      </c>
    </row>
    <row r="590" spans="1:11" x14ac:dyDescent="0.3">
      <c r="A590">
        <v>33</v>
      </c>
      <c r="B590" s="1" t="s">
        <v>51</v>
      </c>
      <c r="C590" s="1" t="s">
        <v>24</v>
      </c>
      <c r="D590">
        <v>637090</v>
      </c>
      <c r="E590" s="3">
        <v>836094</v>
      </c>
      <c r="F590">
        <v>83609</v>
      </c>
      <c r="G590">
        <v>67</v>
      </c>
      <c r="H590">
        <v>70251</v>
      </c>
      <c r="I590">
        <v>16457</v>
      </c>
      <c r="J590">
        <v>27756</v>
      </c>
      <c r="K590">
        <v>2018</v>
      </c>
    </row>
    <row r="591" spans="1:11" x14ac:dyDescent="0.3">
      <c r="A591">
        <v>109</v>
      </c>
      <c r="B591" s="1" t="s">
        <v>162</v>
      </c>
      <c r="C591" s="1" t="s">
        <v>90</v>
      </c>
      <c r="D591">
        <v>463110</v>
      </c>
      <c r="E591" s="3">
        <v>260092</v>
      </c>
      <c r="F591">
        <v>26009</v>
      </c>
      <c r="G591">
        <v>62</v>
      </c>
      <c r="H591">
        <v>55978</v>
      </c>
      <c r="I591">
        <v>23093</v>
      </c>
      <c r="J591">
        <v>17972</v>
      </c>
      <c r="K591">
        <v>2018</v>
      </c>
    </row>
    <row r="592" spans="1:11" x14ac:dyDescent="0.3">
      <c r="A592">
        <v>78</v>
      </c>
      <c r="B592" s="1" t="s">
        <v>107</v>
      </c>
      <c r="C592" s="1" t="s">
        <v>47</v>
      </c>
      <c r="D592">
        <v>539820</v>
      </c>
      <c r="E592" s="3">
        <v>591065</v>
      </c>
      <c r="F592">
        <v>59107</v>
      </c>
      <c r="G592">
        <v>68</v>
      </c>
      <c r="H592">
        <v>39734</v>
      </c>
      <c r="I592">
        <v>22387</v>
      </c>
      <c r="J592">
        <v>9388</v>
      </c>
      <c r="K592">
        <v>2018</v>
      </c>
    </row>
    <row r="593" spans="1:11" x14ac:dyDescent="0.3">
      <c r="A593">
        <v>113</v>
      </c>
      <c r="B593" s="1" t="s">
        <v>143</v>
      </c>
      <c r="C593" s="1" t="s">
        <v>90</v>
      </c>
      <c r="D593">
        <v>457060</v>
      </c>
      <c r="E593" s="3">
        <v>155335</v>
      </c>
      <c r="F593">
        <v>15534</v>
      </c>
      <c r="G593">
        <v>53</v>
      </c>
      <c r="H593">
        <v>49026</v>
      </c>
      <c r="I593">
        <v>39865</v>
      </c>
      <c r="J593">
        <v>11603</v>
      </c>
      <c r="K593">
        <v>2018</v>
      </c>
    </row>
    <row r="594" spans="1:11" x14ac:dyDescent="0.3">
      <c r="A594">
        <v>34</v>
      </c>
      <c r="B594" s="1" t="s">
        <v>38</v>
      </c>
      <c r="C594" s="1" t="s">
        <v>39</v>
      </c>
      <c r="D594">
        <v>634320</v>
      </c>
      <c r="E594" s="3">
        <v>927376</v>
      </c>
      <c r="F594">
        <v>92738</v>
      </c>
      <c r="G594">
        <v>75</v>
      </c>
      <c r="H594">
        <v>87145</v>
      </c>
      <c r="I594">
        <v>43746</v>
      </c>
      <c r="J594">
        <v>100000</v>
      </c>
      <c r="K594">
        <v>2018</v>
      </c>
    </row>
    <row r="595" spans="1:11" x14ac:dyDescent="0.3">
      <c r="A595">
        <v>39</v>
      </c>
      <c r="B595" s="1" t="s">
        <v>63</v>
      </c>
      <c r="C595" s="1" t="s">
        <v>47</v>
      </c>
      <c r="D595">
        <v>617340</v>
      </c>
      <c r="E595" s="3">
        <v>733687</v>
      </c>
      <c r="F595">
        <v>73369</v>
      </c>
      <c r="G595">
        <v>70</v>
      </c>
      <c r="H595">
        <v>48797</v>
      </c>
      <c r="I595">
        <v>19680</v>
      </c>
      <c r="J595">
        <v>3024</v>
      </c>
      <c r="K595">
        <v>2018</v>
      </c>
    </row>
    <row r="596" spans="1:11" x14ac:dyDescent="0.3">
      <c r="A596">
        <v>51</v>
      </c>
      <c r="B596" s="1" t="s">
        <v>73</v>
      </c>
      <c r="C596" s="1" t="s">
        <v>47</v>
      </c>
      <c r="D596">
        <v>594760</v>
      </c>
      <c r="E596" s="3">
        <v>739238</v>
      </c>
      <c r="F596">
        <v>73924</v>
      </c>
      <c r="G596">
        <v>72</v>
      </c>
      <c r="H596">
        <v>87363</v>
      </c>
      <c r="I596">
        <v>26741</v>
      </c>
      <c r="J596">
        <v>11150</v>
      </c>
      <c r="K596">
        <v>2018</v>
      </c>
    </row>
    <row r="597" spans="1:11" x14ac:dyDescent="0.3">
      <c r="A597">
        <v>98</v>
      </c>
      <c r="B597" s="1" t="s">
        <v>179</v>
      </c>
      <c r="C597" s="1" t="s">
        <v>90</v>
      </c>
      <c r="D597">
        <v>498150</v>
      </c>
      <c r="E597" s="3">
        <v>0</v>
      </c>
      <c r="F597">
        <v>0</v>
      </c>
      <c r="G597">
        <v>55</v>
      </c>
      <c r="H597">
        <v>92980</v>
      </c>
      <c r="I597">
        <v>39825</v>
      </c>
      <c r="J597">
        <v>61731</v>
      </c>
      <c r="K597">
        <v>2018</v>
      </c>
    </row>
    <row r="598" spans="1:11" x14ac:dyDescent="0.3">
      <c r="A598">
        <v>105</v>
      </c>
      <c r="B598" s="1" t="s">
        <v>133</v>
      </c>
      <c r="C598" s="1" t="s">
        <v>90</v>
      </c>
      <c r="D598">
        <v>472400</v>
      </c>
      <c r="E598" s="3">
        <v>569972</v>
      </c>
      <c r="F598">
        <v>56997</v>
      </c>
      <c r="G598">
        <v>60</v>
      </c>
      <c r="H598">
        <v>71291</v>
      </c>
      <c r="I598">
        <v>17297</v>
      </c>
      <c r="J598">
        <v>12199</v>
      </c>
      <c r="K598">
        <v>2018</v>
      </c>
    </row>
    <row r="599" spans="1:11" x14ac:dyDescent="0.3">
      <c r="A599">
        <v>57</v>
      </c>
      <c r="B599" s="1" t="s">
        <v>65</v>
      </c>
      <c r="C599" s="1" t="s">
        <v>55</v>
      </c>
      <c r="D599">
        <v>587490</v>
      </c>
      <c r="E599" s="3">
        <v>767899</v>
      </c>
      <c r="F599">
        <v>76790</v>
      </c>
      <c r="G599">
        <v>74</v>
      </c>
      <c r="H599">
        <v>33706</v>
      </c>
      <c r="I599">
        <v>29205</v>
      </c>
      <c r="J599">
        <v>11256</v>
      </c>
      <c r="K599">
        <v>2018</v>
      </c>
    </row>
    <row r="600" spans="1:11" x14ac:dyDescent="0.3">
      <c r="A600">
        <v>154</v>
      </c>
      <c r="B600" s="1" t="s">
        <v>180</v>
      </c>
      <c r="C600" s="1" t="s">
        <v>90</v>
      </c>
      <c r="D600">
        <v>325420</v>
      </c>
      <c r="E600" s="3">
        <v>204584</v>
      </c>
      <c r="F600">
        <v>20458</v>
      </c>
      <c r="G600">
        <v>57</v>
      </c>
      <c r="H600">
        <v>15405</v>
      </c>
      <c r="I600">
        <v>37473</v>
      </c>
      <c r="J600">
        <v>23125</v>
      </c>
      <c r="K600">
        <v>2018</v>
      </c>
    </row>
    <row r="601" spans="1:11" x14ac:dyDescent="0.3">
      <c r="A601">
        <v>36</v>
      </c>
      <c r="B601" s="1" t="s">
        <v>52</v>
      </c>
      <c r="C601" s="1" t="s">
        <v>12</v>
      </c>
      <c r="D601">
        <v>630990</v>
      </c>
      <c r="E601" s="3">
        <v>758504</v>
      </c>
      <c r="F601">
        <v>75850</v>
      </c>
      <c r="G601">
        <v>74</v>
      </c>
      <c r="H601">
        <v>61954</v>
      </c>
      <c r="I601">
        <v>23689</v>
      </c>
      <c r="J601">
        <v>16155</v>
      </c>
      <c r="K601">
        <v>2018</v>
      </c>
    </row>
    <row r="602" spans="1:11" x14ac:dyDescent="0.3">
      <c r="A602">
        <v>116</v>
      </c>
      <c r="B602" s="1" t="s">
        <v>152</v>
      </c>
      <c r="C602" s="1" t="s">
        <v>99</v>
      </c>
      <c r="D602">
        <v>447060</v>
      </c>
      <c r="E602" s="3">
        <v>556592</v>
      </c>
      <c r="F602">
        <v>55659</v>
      </c>
      <c r="G602">
        <v>68</v>
      </c>
      <c r="H602">
        <v>80765</v>
      </c>
      <c r="I602">
        <v>51444</v>
      </c>
      <c r="J602">
        <v>10982</v>
      </c>
      <c r="K602">
        <v>2018</v>
      </c>
    </row>
    <row r="603" spans="1:11" x14ac:dyDescent="0.3">
      <c r="A603">
        <v>137</v>
      </c>
      <c r="B603" s="1" t="s">
        <v>138</v>
      </c>
      <c r="C603" s="1" t="s">
        <v>24</v>
      </c>
      <c r="D603">
        <v>413870</v>
      </c>
      <c r="E603" s="3">
        <v>366889</v>
      </c>
      <c r="F603">
        <v>36689</v>
      </c>
      <c r="G603">
        <v>60</v>
      </c>
      <c r="H603">
        <v>2241</v>
      </c>
      <c r="I603">
        <v>22408</v>
      </c>
      <c r="J603">
        <v>17890</v>
      </c>
      <c r="K603">
        <v>2018</v>
      </c>
    </row>
    <row r="604" spans="1:11" x14ac:dyDescent="0.3">
      <c r="A604">
        <v>9</v>
      </c>
      <c r="B604" s="1" t="s">
        <v>20</v>
      </c>
      <c r="C604" s="1" t="s">
        <v>12</v>
      </c>
      <c r="D604">
        <v>731450</v>
      </c>
      <c r="E604" s="3">
        <v>821950</v>
      </c>
      <c r="F604">
        <v>82195</v>
      </c>
      <c r="G604">
        <v>73</v>
      </c>
      <c r="H604">
        <v>91018</v>
      </c>
      <c r="I604">
        <v>47638</v>
      </c>
      <c r="J604">
        <v>83859</v>
      </c>
      <c r="K604">
        <v>2018</v>
      </c>
    </row>
    <row r="605" spans="1:11" x14ac:dyDescent="0.3">
      <c r="A605">
        <v>5</v>
      </c>
      <c r="B605" s="1" t="s">
        <v>11</v>
      </c>
      <c r="C605" s="1" t="s">
        <v>12</v>
      </c>
      <c r="D605">
        <v>748730</v>
      </c>
      <c r="E605" s="3">
        <v>860934</v>
      </c>
      <c r="F605">
        <v>86093</v>
      </c>
      <c r="G605">
        <v>73</v>
      </c>
      <c r="H605">
        <v>91070</v>
      </c>
      <c r="I605">
        <v>42761</v>
      </c>
      <c r="J605">
        <v>78053</v>
      </c>
      <c r="K605">
        <v>2018</v>
      </c>
    </row>
    <row r="606" spans="1:11" x14ac:dyDescent="0.3">
      <c r="A606">
        <v>150</v>
      </c>
      <c r="B606" s="1" t="s">
        <v>176</v>
      </c>
      <c r="C606" s="1" t="s">
        <v>24</v>
      </c>
      <c r="D606">
        <v>346190</v>
      </c>
      <c r="E606" s="3">
        <v>417681</v>
      </c>
      <c r="F606">
        <v>41768</v>
      </c>
      <c r="G606">
        <v>65</v>
      </c>
      <c r="H606">
        <v>12185</v>
      </c>
      <c r="I606">
        <v>62906</v>
      </c>
      <c r="J606">
        <v>31581</v>
      </c>
      <c r="K606">
        <v>2018</v>
      </c>
    </row>
    <row r="607" spans="1:11" x14ac:dyDescent="0.3">
      <c r="A607">
        <v>26</v>
      </c>
      <c r="B607" s="1" t="s">
        <v>54</v>
      </c>
      <c r="C607" s="1" t="s">
        <v>55</v>
      </c>
      <c r="D607">
        <v>644060</v>
      </c>
      <c r="E607" s="3">
        <v>827779</v>
      </c>
      <c r="F607">
        <v>82778</v>
      </c>
      <c r="G607">
        <v>72</v>
      </c>
      <c r="H607">
        <v>57636</v>
      </c>
      <c r="I607">
        <v>25205</v>
      </c>
      <c r="J607">
        <v>17038</v>
      </c>
      <c r="K607">
        <v>2018</v>
      </c>
    </row>
    <row r="608" spans="1:11" x14ac:dyDescent="0.3">
      <c r="A608">
        <v>80</v>
      </c>
      <c r="B608" s="1" t="s">
        <v>126</v>
      </c>
      <c r="C608" s="1" t="s">
        <v>62</v>
      </c>
      <c r="D608">
        <v>535250</v>
      </c>
      <c r="E608" s="3">
        <v>287522</v>
      </c>
      <c r="F608">
        <v>28752</v>
      </c>
      <c r="G608">
        <v>66</v>
      </c>
      <c r="H608">
        <v>69498</v>
      </c>
      <c r="I608">
        <v>35825</v>
      </c>
      <c r="J608">
        <v>29660</v>
      </c>
      <c r="K608">
        <v>2018</v>
      </c>
    </row>
    <row r="609" spans="1:11" x14ac:dyDescent="0.3">
      <c r="A609">
        <v>153</v>
      </c>
      <c r="B609" s="1" t="s">
        <v>166</v>
      </c>
      <c r="C609" s="1" t="s">
        <v>90</v>
      </c>
      <c r="D609">
        <v>330350</v>
      </c>
      <c r="E609" s="3">
        <v>275833</v>
      </c>
      <c r="F609">
        <v>27583</v>
      </c>
      <c r="G609">
        <v>61</v>
      </c>
      <c r="H609">
        <v>66382</v>
      </c>
      <c r="I609">
        <v>45189</v>
      </c>
      <c r="J609">
        <v>21270</v>
      </c>
      <c r="K609">
        <v>2018</v>
      </c>
    </row>
    <row r="610" spans="1:11" x14ac:dyDescent="0.3">
      <c r="A610">
        <v>46</v>
      </c>
      <c r="B610" s="1" t="s">
        <v>50</v>
      </c>
      <c r="C610" s="1" t="s">
        <v>39</v>
      </c>
      <c r="D610">
        <v>607230</v>
      </c>
      <c r="E610" s="3">
        <v>616091</v>
      </c>
      <c r="F610">
        <v>61609</v>
      </c>
      <c r="G610">
        <v>69</v>
      </c>
      <c r="H610">
        <v>87972</v>
      </c>
      <c r="I610">
        <v>60841</v>
      </c>
      <c r="J610">
        <v>6378</v>
      </c>
      <c r="K610">
        <v>2018</v>
      </c>
    </row>
    <row r="611" spans="1:11" x14ac:dyDescent="0.3">
      <c r="A611">
        <v>139</v>
      </c>
      <c r="B611" s="1" t="s">
        <v>178</v>
      </c>
      <c r="C611" s="1" t="s">
        <v>90</v>
      </c>
      <c r="D611">
        <v>399850</v>
      </c>
      <c r="E611" s="3">
        <v>157278</v>
      </c>
      <c r="F611">
        <v>15728</v>
      </c>
      <c r="G611">
        <v>58</v>
      </c>
      <c r="H611">
        <v>59922</v>
      </c>
      <c r="I611">
        <v>26475</v>
      </c>
      <c r="J611">
        <v>22031</v>
      </c>
      <c r="K611">
        <v>2018</v>
      </c>
    </row>
    <row r="612" spans="1:11" x14ac:dyDescent="0.3">
      <c r="A612">
        <v>38</v>
      </c>
      <c r="B612" s="1" t="s">
        <v>188</v>
      </c>
      <c r="C612" s="1" t="s">
        <v>26</v>
      </c>
      <c r="D612">
        <v>619190</v>
      </c>
      <c r="E612" s="3">
        <v>741459</v>
      </c>
      <c r="F612">
        <v>74146</v>
      </c>
      <c r="G612">
        <v>65</v>
      </c>
      <c r="H612">
        <v>79379</v>
      </c>
      <c r="I612">
        <v>28628</v>
      </c>
      <c r="J612">
        <v>4081</v>
      </c>
      <c r="K612">
        <v>2018</v>
      </c>
    </row>
    <row r="613" spans="1:11" x14ac:dyDescent="0.3">
      <c r="A613">
        <v>111</v>
      </c>
      <c r="B613" s="1" t="s">
        <v>127</v>
      </c>
      <c r="C613" s="1" t="s">
        <v>24</v>
      </c>
      <c r="D613">
        <v>459240</v>
      </c>
      <c r="E613" s="3">
        <v>545610</v>
      </c>
      <c r="F613">
        <v>54561</v>
      </c>
      <c r="G613">
        <v>68</v>
      </c>
      <c r="H613">
        <v>37338</v>
      </c>
      <c r="I613">
        <v>6729</v>
      </c>
      <c r="J613">
        <v>13730</v>
      </c>
      <c r="K613">
        <v>2018</v>
      </c>
    </row>
    <row r="614" spans="1:11" x14ac:dyDescent="0.3">
      <c r="A614">
        <v>74</v>
      </c>
      <c r="B614" s="1" t="s">
        <v>95</v>
      </c>
      <c r="C614" s="1" t="s">
        <v>24</v>
      </c>
      <c r="D614">
        <v>548250</v>
      </c>
      <c r="E614" s="3">
        <v>696361</v>
      </c>
      <c r="F614">
        <v>69636</v>
      </c>
      <c r="G614">
        <v>68</v>
      </c>
      <c r="H614">
        <v>44760</v>
      </c>
      <c r="I614">
        <v>17672</v>
      </c>
      <c r="J614">
        <v>23805</v>
      </c>
      <c r="K614">
        <v>2018</v>
      </c>
    </row>
    <row r="615" spans="1:11" x14ac:dyDescent="0.3">
      <c r="A615">
        <v>68</v>
      </c>
      <c r="B615" s="1" t="s">
        <v>88</v>
      </c>
      <c r="C615" s="1" t="s">
        <v>62</v>
      </c>
      <c r="D615">
        <v>563620</v>
      </c>
      <c r="E615" s="3">
        <v>615860</v>
      </c>
      <c r="F615">
        <v>61586</v>
      </c>
      <c r="G615">
        <v>64</v>
      </c>
      <c r="H615">
        <v>57504</v>
      </c>
      <c r="I615">
        <v>33316</v>
      </c>
      <c r="J615">
        <v>8165</v>
      </c>
      <c r="K615">
        <v>2018</v>
      </c>
    </row>
    <row r="616" spans="1:11" x14ac:dyDescent="0.3">
      <c r="A616">
        <v>135</v>
      </c>
      <c r="B616" s="1" t="s">
        <v>161</v>
      </c>
      <c r="C616" s="1" t="s">
        <v>90</v>
      </c>
      <c r="D616">
        <v>416080</v>
      </c>
      <c r="E616" s="3">
        <v>195126</v>
      </c>
      <c r="F616">
        <v>19513</v>
      </c>
      <c r="G616">
        <v>58</v>
      </c>
      <c r="H616">
        <v>62074</v>
      </c>
      <c r="I616">
        <v>43413</v>
      </c>
      <c r="J616">
        <v>13262</v>
      </c>
      <c r="K616">
        <v>2018</v>
      </c>
    </row>
    <row r="617" spans="1:11" x14ac:dyDescent="0.3">
      <c r="A617">
        <v>138</v>
      </c>
      <c r="B617" s="1" t="s">
        <v>131</v>
      </c>
      <c r="C617" s="1" t="s">
        <v>62</v>
      </c>
      <c r="D617">
        <v>410290</v>
      </c>
      <c r="E617" s="3">
        <v>480881</v>
      </c>
      <c r="F617">
        <v>48088</v>
      </c>
      <c r="G617">
        <v>66</v>
      </c>
      <c r="H617">
        <v>22440</v>
      </c>
      <c r="I617">
        <v>31287</v>
      </c>
      <c r="J617">
        <v>2504</v>
      </c>
      <c r="K617">
        <v>2018</v>
      </c>
    </row>
    <row r="618" spans="1:11" x14ac:dyDescent="0.3">
      <c r="A618">
        <v>20</v>
      </c>
      <c r="B618" s="1" t="s">
        <v>34</v>
      </c>
      <c r="C618" s="1" t="s">
        <v>24</v>
      </c>
      <c r="D618">
        <v>677410</v>
      </c>
      <c r="E618" s="3">
        <v>889677</v>
      </c>
      <c r="F618">
        <v>88968</v>
      </c>
      <c r="G618">
        <v>70</v>
      </c>
      <c r="H618">
        <v>92458</v>
      </c>
      <c r="I618">
        <v>47512</v>
      </c>
      <c r="J618">
        <v>40621</v>
      </c>
      <c r="K618">
        <v>2018</v>
      </c>
    </row>
    <row r="619" spans="1:11" x14ac:dyDescent="0.3">
      <c r="A619">
        <v>19</v>
      </c>
      <c r="B619" s="1" t="s">
        <v>35</v>
      </c>
      <c r="C619" s="1" t="s">
        <v>12</v>
      </c>
      <c r="D619">
        <v>681430</v>
      </c>
      <c r="E619" s="3">
        <v>789125</v>
      </c>
      <c r="F619">
        <v>78913</v>
      </c>
      <c r="G619">
        <v>72</v>
      </c>
      <c r="H619">
        <v>73525</v>
      </c>
      <c r="I619">
        <v>59295</v>
      </c>
      <c r="J619">
        <v>59538</v>
      </c>
      <c r="K619">
        <v>2018</v>
      </c>
    </row>
    <row r="620" spans="1:11" x14ac:dyDescent="0.3">
      <c r="A620">
        <v>18</v>
      </c>
      <c r="B620" s="1" t="s">
        <v>29</v>
      </c>
      <c r="C620" s="1" t="s">
        <v>17</v>
      </c>
      <c r="D620">
        <v>688600</v>
      </c>
      <c r="E620" s="3">
        <v>847785</v>
      </c>
      <c r="F620">
        <v>84778</v>
      </c>
      <c r="G620">
        <v>71</v>
      </c>
      <c r="H620">
        <v>75547</v>
      </c>
      <c r="I620">
        <v>48629</v>
      </c>
      <c r="J620">
        <v>29200</v>
      </c>
      <c r="K620">
        <v>2018</v>
      </c>
    </row>
    <row r="621" spans="1:11" x14ac:dyDescent="0.3">
      <c r="A621">
        <v>31</v>
      </c>
      <c r="B621" s="1" t="s">
        <v>48</v>
      </c>
      <c r="C621" s="1" t="s">
        <v>26</v>
      </c>
      <c r="D621">
        <v>637880</v>
      </c>
      <c r="E621" s="3">
        <v>662600</v>
      </c>
      <c r="F621">
        <v>66260</v>
      </c>
      <c r="G621">
        <v>70</v>
      </c>
      <c r="H621">
        <v>86249</v>
      </c>
      <c r="I621">
        <v>21691</v>
      </c>
      <c r="J621">
        <v>33992</v>
      </c>
      <c r="K621">
        <v>2018</v>
      </c>
    </row>
    <row r="622" spans="1:11" x14ac:dyDescent="0.3">
      <c r="A622">
        <v>44</v>
      </c>
      <c r="B622" s="1" t="s">
        <v>61</v>
      </c>
      <c r="C622" s="1" t="s">
        <v>62</v>
      </c>
      <c r="D622">
        <v>609610</v>
      </c>
      <c r="E622" s="3">
        <v>435917</v>
      </c>
      <c r="F622">
        <v>43592</v>
      </c>
      <c r="G622">
        <v>66</v>
      </c>
      <c r="H622">
        <v>100000</v>
      </c>
      <c r="I622">
        <v>54854</v>
      </c>
      <c r="J622">
        <v>56622</v>
      </c>
      <c r="K622">
        <v>2018</v>
      </c>
    </row>
    <row r="623" spans="1:11" x14ac:dyDescent="0.3">
      <c r="A623">
        <v>102</v>
      </c>
      <c r="B623" s="1" t="s">
        <v>37</v>
      </c>
      <c r="C623" s="1" t="s">
        <v>26</v>
      </c>
      <c r="D623">
        <v>480560</v>
      </c>
      <c r="E623" s="3">
        <v>603779</v>
      </c>
      <c r="F623">
        <v>60378</v>
      </c>
      <c r="G623">
        <v>67</v>
      </c>
      <c r="H623">
        <v>18372</v>
      </c>
      <c r="I623">
        <v>9425</v>
      </c>
      <c r="J623">
        <v>11299</v>
      </c>
      <c r="K623">
        <v>2018</v>
      </c>
    </row>
    <row r="624" spans="1:11" x14ac:dyDescent="0.3">
      <c r="A624">
        <v>95</v>
      </c>
      <c r="B624" s="1" t="s">
        <v>94</v>
      </c>
      <c r="C624" s="1" t="s">
        <v>39</v>
      </c>
      <c r="D624">
        <v>510320</v>
      </c>
      <c r="E624" s="3">
        <v>433358</v>
      </c>
      <c r="F624">
        <v>43336</v>
      </c>
      <c r="G624">
        <v>68</v>
      </c>
      <c r="H624">
        <v>85336</v>
      </c>
      <c r="I624">
        <v>29628</v>
      </c>
      <c r="J624">
        <v>17397</v>
      </c>
      <c r="K624">
        <v>2018</v>
      </c>
    </row>
    <row r="625" spans="1:11" x14ac:dyDescent="0.3">
      <c r="A625">
        <v>152</v>
      </c>
      <c r="B625" s="1" t="s">
        <v>156</v>
      </c>
      <c r="C625" s="1" t="s">
        <v>24</v>
      </c>
      <c r="D625">
        <v>335490</v>
      </c>
      <c r="E625" s="3">
        <v>267746</v>
      </c>
      <c r="F625">
        <v>26775</v>
      </c>
      <c r="G625">
        <v>60</v>
      </c>
      <c r="H625">
        <v>33662</v>
      </c>
      <c r="I625">
        <v>13905</v>
      </c>
      <c r="J625">
        <v>14037</v>
      </c>
      <c r="K625">
        <v>2018</v>
      </c>
    </row>
    <row r="626" spans="1:11" x14ac:dyDescent="0.3">
      <c r="A626">
        <v>125</v>
      </c>
      <c r="B626" s="1" t="s">
        <v>105</v>
      </c>
      <c r="C626" s="1" t="s">
        <v>90</v>
      </c>
      <c r="D626">
        <v>437710</v>
      </c>
      <c r="E626" s="3">
        <v>341039</v>
      </c>
      <c r="F626">
        <v>34104</v>
      </c>
      <c r="G626">
        <v>59</v>
      </c>
      <c r="H626">
        <v>69374</v>
      </c>
      <c r="I626">
        <v>37046</v>
      </c>
      <c r="J626">
        <v>17933</v>
      </c>
      <c r="K626">
        <v>2018</v>
      </c>
    </row>
    <row r="627" spans="1:11" x14ac:dyDescent="0.3">
      <c r="A627">
        <v>144</v>
      </c>
      <c r="B627" s="1" t="s">
        <v>135</v>
      </c>
      <c r="C627" s="1" t="s">
        <v>90</v>
      </c>
      <c r="D627">
        <v>369230</v>
      </c>
      <c r="E627" s="3">
        <v>216659</v>
      </c>
      <c r="F627">
        <v>21666</v>
      </c>
      <c r="G627">
        <v>58</v>
      </c>
      <c r="H627">
        <v>56038</v>
      </c>
      <c r="I627">
        <v>22083</v>
      </c>
      <c r="J627">
        <v>21651</v>
      </c>
      <c r="K627">
        <v>2018</v>
      </c>
    </row>
    <row r="628" spans="1:11" x14ac:dyDescent="0.3">
      <c r="A628">
        <v>1</v>
      </c>
      <c r="B628" s="1" t="s">
        <v>18</v>
      </c>
      <c r="C628" s="1" t="s">
        <v>12</v>
      </c>
      <c r="D628">
        <v>776890</v>
      </c>
      <c r="E628" s="3">
        <v>795824</v>
      </c>
      <c r="F628">
        <v>97760</v>
      </c>
      <c r="G628">
        <v>76</v>
      </c>
      <c r="H628">
        <v>94400</v>
      </c>
      <c r="I628">
        <v>26989</v>
      </c>
      <c r="J628">
        <v>86796</v>
      </c>
      <c r="K628">
        <v>2019</v>
      </c>
    </row>
    <row r="629" spans="1:11" x14ac:dyDescent="0.3">
      <c r="A629">
        <v>2</v>
      </c>
      <c r="B629" s="1" t="s">
        <v>14</v>
      </c>
      <c r="C629" s="1" t="s">
        <v>12</v>
      </c>
      <c r="D629">
        <v>760010</v>
      </c>
      <c r="E629" s="3">
        <v>821474</v>
      </c>
      <c r="F629">
        <v>96855</v>
      </c>
      <c r="G629">
        <v>76</v>
      </c>
      <c r="H629">
        <v>93839</v>
      </c>
      <c r="I629">
        <v>44593</v>
      </c>
      <c r="J629">
        <v>90675</v>
      </c>
      <c r="K629">
        <v>2019</v>
      </c>
    </row>
    <row r="630" spans="1:11" x14ac:dyDescent="0.3">
      <c r="A630">
        <v>3</v>
      </c>
      <c r="B630" s="1" t="s">
        <v>15</v>
      </c>
      <c r="C630" s="1" t="s">
        <v>12</v>
      </c>
      <c r="D630">
        <v>755390</v>
      </c>
      <c r="E630" s="3">
        <v>883423</v>
      </c>
      <c r="F630">
        <v>97407</v>
      </c>
      <c r="G630">
        <v>77</v>
      </c>
      <c r="H630">
        <v>95605</v>
      </c>
      <c r="I630">
        <v>47948</v>
      </c>
      <c r="J630">
        <v>75302</v>
      </c>
      <c r="K630">
        <v>2019</v>
      </c>
    </row>
    <row r="631" spans="1:11" x14ac:dyDescent="0.3">
      <c r="A631">
        <v>4</v>
      </c>
      <c r="B631" s="1" t="s">
        <v>13</v>
      </c>
      <c r="C631" s="1" t="s">
        <v>12</v>
      </c>
      <c r="D631">
        <v>749360</v>
      </c>
      <c r="E631" s="3">
        <v>819529</v>
      </c>
      <c r="F631">
        <v>100000</v>
      </c>
      <c r="G631">
        <v>77</v>
      </c>
      <c r="H631">
        <v>93609</v>
      </c>
      <c r="I631">
        <v>62627</v>
      </c>
      <c r="J631">
        <v>26062</v>
      </c>
      <c r="K631">
        <v>2019</v>
      </c>
    </row>
    <row r="632" spans="1:11" x14ac:dyDescent="0.3">
      <c r="A632">
        <v>5</v>
      </c>
      <c r="B632" s="1" t="s">
        <v>19</v>
      </c>
      <c r="C632" s="1" t="s">
        <v>12</v>
      </c>
      <c r="D632">
        <v>748760</v>
      </c>
      <c r="E632" s="3">
        <v>828945</v>
      </c>
      <c r="F632">
        <v>93733</v>
      </c>
      <c r="G632">
        <v>76</v>
      </c>
      <c r="H632">
        <v>88250</v>
      </c>
      <c r="I632">
        <v>56986</v>
      </c>
      <c r="J632">
        <v>65824</v>
      </c>
      <c r="K632">
        <v>2019</v>
      </c>
    </row>
    <row r="633" spans="1:11" x14ac:dyDescent="0.3">
      <c r="A633">
        <v>6</v>
      </c>
      <c r="B633" s="1" t="s">
        <v>11</v>
      </c>
      <c r="C633" s="1" t="s">
        <v>12</v>
      </c>
      <c r="D633">
        <v>748020</v>
      </c>
      <c r="E633" s="3">
        <v>862330</v>
      </c>
      <c r="F633">
        <v>94003</v>
      </c>
      <c r="G633">
        <v>77</v>
      </c>
      <c r="H633">
        <v>90538</v>
      </c>
      <c r="I633">
        <v>46563</v>
      </c>
      <c r="J633">
        <v>75685</v>
      </c>
      <c r="K633">
        <v>2019</v>
      </c>
    </row>
    <row r="634" spans="1:11" x14ac:dyDescent="0.3">
      <c r="A634">
        <v>7</v>
      </c>
      <c r="B634" s="1" t="s">
        <v>20</v>
      </c>
      <c r="C634" s="1" t="s">
        <v>12</v>
      </c>
      <c r="D634">
        <v>734330</v>
      </c>
      <c r="E634" s="3">
        <v>823337</v>
      </c>
      <c r="F634">
        <v>91603</v>
      </c>
      <c r="G634">
        <v>76</v>
      </c>
      <c r="H634">
        <v>90998</v>
      </c>
      <c r="I634">
        <v>47192</v>
      </c>
      <c r="J634">
        <v>82442</v>
      </c>
      <c r="K634">
        <v>2019</v>
      </c>
    </row>
    <row r="635" spans="1:11" x14ac:dyDescent="0.3">
      <c r="A635">
        <v>8</v>
      </c>
      <c r="B635" s="1" t="s">
        <v>21</v>
      </c>
      <c r="C635" s="1" t="s">
        <v>17</v>
      </c>
      <c r="D635">
        <v>730750</v>
      </c>
      <c r="E635" s="3">
        <v>773464</v>
      </c>
      <c r="F635">
        <v>95909</v>
      </c>
      <c r="G635">
        <v>77</v>
      </c>
      <c r="H635">
        <v>92697</v>
      </c>
      <c r="I635">
        <v>58294</v>
      </c>
      <c r="J635">
        <v>84005</v>
      </c>
      <c r="K635">
        <v>2019</v>
      </c>
    </row>
    <row r="636" spans="1:11" x14ac:dyDescent="0.3">
      <c r="A636">
        <v>9</v>
      </c>
      <c r="B636" s="1" t="s">
        <v>16</v>
      </c>
      <c r="C636" s="1" t="s">
        <v>17</v>
      </c>
      <c r="D636">
        <v>727810</v>
      </c>
      <c r="E636" s="3">
        <v>810463</v>
      </c>
      <c r="F636">
        <v>92676</v>
      </c>
      <c r="G636">
        <v>77</v>
      </c>
      <c r="H636">
        <v>92508</v>
      </c>
      <c r="I636">
        <v>50373</v>
      </c>
      <c r="J636">
        <v>68047</v>
      </c>
      <c r="K636">
        <v>2019</v>
      </c>
    </row>
    <row r="637" spans="1:11" x14ac:dyDescent="0.3">
      <c r="A637">
        <v>10</v>
      </c>
      <c r="B637" s="1" t="s">
        <v>27</v>
      </c>
      <c r="C637" s="1" t="s">
        <v>12</v>
      </c>
      <c r="D637">
        <v>724600</v>
      </c>
      <c r="E637" s="3">
        <v>816785</v>
      </c>
      <c r="F637">
        <v>90858</v>
      </c>
      <c r="G637">
        <v>76</v>
      </c>
      <c r="H637">
        <v>84290</v>
      </c>
      <c r="I637">
        <v>43046</v>
      </c>
      <c r="J637">
        <v>49973</v>
      </c>
      <c r="K637">
        <v>2019</v>
      </c>
    </row>
    <row r="638" spans="1:11" x14ac:dyDescent="0.3">
      <c r="A638">
        <v>11</v>
      </c>
      <c r="B638" s="1" t="s">
        <v>22</v>
      </c>
      <c r="C638" s="1" t="s">
        <v>17</v>
      </c>
      <c r="D638">
        <v>722800</v>
      </c>
      <c r="E638" s="3">
        <v>814412</v>
      </c>
      <c r="F638">
        <v>95338</v>
      </c>
      <c r="G638">
        <v>77</v>
      </c>
      <c r="H638">
        <v>88265</v>
      </c>
      <c r="I638">
        <v>58596</v>
      </c>
      <c r="J638">
        <v>64054</v>
      </c>
      <c r="K638">
        <v>2019</v>
      </c>
    </row>
    <row r="639" spans="1:11" x14ac:dyDescent="0.3">
      <c r="A639">
        <v>12</v>
      </c>
      <c r="B639" s="1" t="s">
        <v>25</v>
      </c>
      <c r="C639" s="1" t="s">
        <v>26</v>
      </c>
      <c r="D639">
        <v>716740</v>
      </c>
      <c r="E639" s="3">
        <v>614128</v>
      </c>
      <c r="F639">
        <v>88758</v>
      </c>
      <c r="G639">
        <v>76</v>
      </c>
      <c r="H639">
        <v>88402</v>
      </c>
      <c r="I639">
        <v>25520</v>
      </c>
      <c r="J639">
        <v>20648</v>
      </c>
      <c r="K639">
        <v>2019</v>
      </c>
    </row>
    <row r="640" spans="1:11" x14ac:dyDescent="0.3">
      <c r="A640">
        <v>13</v>
      </c>
      <c r="B640" s="1" t="s">
        <v>23</v>
      </c>
      <c r="C640" s="1" t="s">
        <v>24</v>
      </c>
      <c r="D640">
        <v>713870</v>
      </c>
      <c r="E640" s="3">
        <v>757582</v>
      </c>
      <c r="F640">
        <v>89591</v>
      </c>
      <c r="G640">
        <v>77</v>
      </c>
      <c r="H640">
        <v>58706</v>
      </c>
      <c r="I640">
        <v>46211</v>
      </c>
      <c r="J640">
        <v>18141</v>
      </c>
      <c r="K640">
        <v>2019</v>
      </c>
    </row>
    <row r="641" spans="1:11" x14ac:dyDescent="0.3">
      <c r="A641">
        <v>14</v>
      </c>
      <c r="B641" s="1" t="s">
        <v>31</v>
      </c>
      <c r="C641" s="1" t="s">
        <v>12</v>
      </c>
      <c r="D641">
        <v>709030</v>
      </c>
      <c r="E641" s="3">
        <v>955268</v>
      </c>
      <c r="F641">
        <v>91079</v>
      </c>
      <c r="G641">
        <v>76</v>
      </c>
      <c r="H641">
        <v>83353</v>
      </c>
      <c r="I641">
        <v>34339</v>
      </c>
      <c r="J641">
        <v>69738</v>
      </c>
      <c r="K641">
        <v>2019</v>
      </c>
    </row>
    <row r="642" spans="1:11" x14ac:dyDescent="0.3">
      <c r="A642">
        <v>15</v>
      </c>
      <c r="B642" s="1" t="s">
        <v>35</v>
      </c>
      <c r="C642" s="1" t="s">
        <v>12</v>
      </c>
      <c r="D642">
        <v>705370</v>
      </c>
      <c r="E642" s="3">
        <v>791495</v>
      </c>
      <c r="F642">
        <v>94699</v>
      </c>
      <c r="G642">
        <v>76</v>
      </c>
      <c r="H642">
        <v>71212</v>
      </c>
      <c r="I642">
        <v>61547</v>
      </c>
      <c r="J642">
        <v>61322</v>
      </c>
      <c r="K642">
        <v>2019</v>
      </c>
    </row>
    <row r="643" spans="1:11" x14ac:dyDescent="0.3">
      <c r="A643">
        <v>16</v>
      </c>
      <c r="B643" s="1" t="s">
        <v>32</v>
      </c>
      <c r="C643" s="1" t="s">
        <v>12</v>
      </c>
      <c r="D643">
        <v>702110</v>
      </c>
      <c r="E643" s="3">
        <v>890223</v>
      </c>
      <c r="F643">
        <v>95665</v>
      </c>
      <c r="G643">
        <v>76</v>
      </c>
      <c r="H643">
        <v>81683</v>
      </c>
      <c r="I643">
        <v>52711</v>
      </c>
      <c r="J643">
        <v>68534</v>
      </c>
      <c r="K643">
        <v>2019</v>
      </c>
    </row>
    <row r="644" spans="1:11" x14ac:dyDescent="0.3">
      <c r="A644">
        <v>17</v>
      </c>
      <c r="B644" s="1" t="s">
        <v>41</v>
      </c>
      <c r="C644" s="1" t="s">
        <v>12</v>
      </c>
      <c r="D644">
        <v>698500</v>
      </c>
      <c r="E644" s="3">
        <v>815021</v>
      </c>
      <c r="F644">
        <v>89550</v>
      </c>
      <c r="G644">
        <v>76</v>
      </c>
      <c r="H644">
        <v>78460</v>
      </c>
      <c r="I644">
        <v>46211</v>
      </c>
      <c r="J644">
        <v>58535</v>
      </c>
      <c r="K644">
        <v>2019</v>
      </c>
    </row>
    <row r="645" spans="1:11" x14ac:dyDescent="0.3">
      <c r="A645">
        <v>18</v>
      </c>
      <c r="B645" s="1" t="s">
        <v>33</v>
      </c>
      <c r="C645" s="1" t="s">
        <v>12</v>
      </c>
      <c r="D645">
        <v>692300</v>
      </c>
      <c r="E645" s="3">
        <v>804987</v>
      </c>
      <c r="F645">
        <v>92650</v>
      </c>
      <c r="G645">
        <v>76</v>
      </c>
      <c r="H645">
        <v>74861</v>
      </c>
      <c r="I645">
        <v>28242</v>
      </c>
      <c r="J645">
        <v>46316</v>
      </c>
      <c r="K645">
        <v>2019</v>
      </c>
    </row>
    <row r="646" spans="1:11" x14ac:dyDescent="0.3">
      <c r="A646">
        <v>19</v>
      </c>
      <c r="B646" s="1" t="s">
        <v>29</v>
      </c>
      <c r="C646" s="1" t="s">
        <v>17</v>
      </c>
      <c r="D646">
        <v>689230</v>
      </c>
      <c r="E646" s="3">
        <v>850777</v>
      </c>
      <c r="F646">
        <v>89757</v>
      </c>
      <c r="G646">
        <v>74</v>
      </c>
      <c r="H646">
        <v>71946</v>
      </c>
      <c r="I646">
        <v>49468</v>
      </c>
      <c r="J646">
        <v>28217</v>
      </c>
      <c r="K646">
        <v>2019</v>
      </c>
    </row>
    <row r="647" spans="1:11" x14ac:dyDescent="0.3">
      <c r="A647">
        <v>20</v>
      </c>
      <c r="B647" s="1" t="s">
        <v>46</v>
      </c>
      <c r="C647" s="1" t="s">
        <v>47</v>
      </c>
      <c r="D647">
        <v>685210</v>
      </c>
      <c r="E647" s="3">
        <v>753554</v>
      </c>
      <c r="F647">
        <v>91610</v>
      </c>
      <c r="G647">
        <v>75</v>
      </c>
      <c r="H647">
        <v>72377</v>
      </c>
      <c r="I647">
        <v>8142</v>
      </c>
      <c r="J647">
        <v>8061</v>
      </c>
      <c r="K647">
        <v>2019</v>
      </c>
    </row>
    <row r="648" spans="1:11" x14ac:dyDescent="0.3">
      <c r="A648">
        <v>21</v>
      </c>
      <c r="B648" s="1" t="s">
        <v>34</v>
      </c>
      <c r="C648" s="1" t="s">
        <v>24</v>
      </c>
      <c r="D648">
        <v>682450</v>
      </c>
      <c r="E648" s="3">
        <v>892248</v>
      </c>
      <c r="F648">
        <v>80668</v>
      </c>
      <c r="G648">
        <v>73</v>
      </c>
      <c r="H648">
        <v>94804</v>
      </c>
      <c r="I648">
        <v>46355</v>
      </c>
      <c r="J648">
        <v>40133</v>
      </c>
      <c r="K648">
        <v>2019</v>
      </c>
    </row>
    <row r="649" spans="1:11" x14ac:dyDescent="0.3">
      <c r="A649">
        <v>22</v>
      </c>
      <c r="B649" s="1" t="s">
        <v>53</v>
      </c>
      <c r="C649" s="1" t="s">
        <v>12</v>
      </c>
      <c r="D649">
        <v>672560</v>
      </c>
      <c r="E649" s="3">
        <v>771893</v>
      </c>
      <c r="F649">
        <v>93597</v>
      </c>
      <c r="G649">
        <v>76</v>
      </c>
      <c r="H649">
        <v>89394</v>
      </c>
      <c r="I649">
        <v>66334</v>
      </c>
      <c r="J649">
        <v>33295</v>
      </c>
      <c r="K649">
        <v>2019</v>
      </c>
    </row>
    <row r="650" spans="1:11" x14ac:dyDescent="0.3">
      <c r="A650">
        <v>23</v>
      </c>
      <c r="B650" s="1" t="s">
        <v>28</v>
      </c>
      <c r="C650" s="1" t="s">
        <v>26</v>
      </c>
      <c r="D650">
        <v>659450</v>
      </c>
      <c r="E650" s="3">
        <v>635232</v>
      </c>
      <c r="F650">
        <v>81488</v>
      </c>
      <c r="G650">
        <v>74</v>
      </c>
      <c r="H650">
        <v>68613</v>
      </c>
      <c r="I650">
        <v>12998</v>
      </c>
      <c r="J650">
        <v>16061</v>
      </c>
      <c r="K650">
        <v>2019</v>
      </c>
    </row>
    <row r="651" spans="1:11" x14ac:dyDescent="0.3">
      <c r="A651">
        <v>24</v>
      </c>
      <c r="B651" s="1" t="s">
        <v>44</v>
      </c>
      <c r="C651" s="1" t="s">
        <v>12</v>
      </c>
      <c r="D651">
        <v>659210</v>
      </c>
      <c r="E651" s="3">
        <v>786139</v>
      </c>
      <c r="F651">
        <v>90663</v>
      </c>
      <c r="G651">
        <v>77</v>
      </c>
      <c r="H651">
        <v>68998</v>
      </c>
      <c r="I651">
        <v>19634</v>
      </c>
      <c r="J651">
        <v>40467</v>
      </c>
      <c r="K651">
        <v>2019</v>
      </c>
    </row>
    <row r="652" spans="1:11" x14ac:dyDescent="0.3">
      <c r="A652">
        <v>25</v>
      </c>
      <c r="B652" s="1" t="s">
        <v>54</v>
      </c>
      <c r="C652" s="1" t="s">
        <v>55</v>
      </c>
      <c r="D652">
        <v>644620</v>
      </c>
      <c r="E652" s="3">
        <v>812358</v>
      </c>
      <c r="F652">
        <v>88099</v>
      </c>
      <c r="G652">
        <v>75</v>
      </c>
      <c r="H652">
        <v>55534</v>
      </c>
      <c r="I652">
        <v>42716</v>
      </c>
      <c r="J652">
        <v>21383</v>
      </c>
      <c r="K652">
        <v>2019</v>
      </c>
    </row>
    <row r="653" spans="1:11" x14ac:dyDescent="0.3">
      <c r="A653">
        <v>26</v>
      </c>
      <c r="B653" s="1" t="s">
        <v>42</v>
      </c>
      <c r="C653" s="1" t="s">
        <v>26</v>
      </c>
      <c r="D653">
        <v>644400</v>
      </c>
      <c r="E653" s="3">
        <v>688166</v>
      </c>
      <c r="F653">
        <v>84301</v>
      </c>
      <c r="G653">
        <v>75</v>
      </c>
      <c r="H653">
        <v>56489</v>
      </c>
      <c r="I653">
        <v>32981</v>
      </c>
      <c r="J653">
        <v>12394</v>
      </c>
      <c r="K653">
        <v>2019</v>
      </c>
    </row>
    <row r="654" spans="1:11" x14ac:dyDescent="0.3">
      <c r="A654">
        <v>27</v>
      </c>
      <c r="B654" s="1" t="s">
        <v>60</v>
      </c>
      <c r="C654" s="1" t="s">
        <v>26</v>
      </c>
      <c r="D654">
        <v>643620</v>
      </c>
      <c r="E654" s="3">
        <v>475186</v>
      </c>
      <c r="F654">
        <v>78187</v>
      </c>
      <c r="G654">
        <v>71</v>
      </c>
      <c r="H654">
        <v>84722</v>
      </c>
      <c r="I654">
        <v>30948</v>
      </c>
      <c r="J654">
        <v>17194</v>
      </c>
      <c r="K654">
        <v>2019</v>
      </c>
    </row>
    <row r="655" spans="1:11" x14ac:dyDescent="0.3">
      <c r="A655">
        <v>28</v>
      </c>
      <c r="B655" s="1" t="s">
        <v>51</v>
      </c>
      <c r="C655" s="1" t="s">
        <v>24</v>
      </c>
      <c r="D655">
        <v>637470</v>
      </c>
      <c r="E655" s="3">
        <v>833026</v>
      </c>
      <c r="F655">
        <v>83549</v>
      </c>
      <c r="G655">
        <v>72</v>
      </c>
      <c r="H655">
        <v>69496</v>
      </c>
      <c r="I655">
        <v>14206</v>
      </c>
      <c r="J655">
        <v>29172</v>
      </c>
      <c r="K655">
        <v>2019</v>
      </c>
    </row>
    <row r="656" spans="1:11" x14ac:dyDescent="0.3">
      <c r="A656">
        <v>29</v>
      </c>
      <c r="B656" s="1" t="s">
        <v>43</v>
      </c>
      <c r="C656" s="1" t="s">
        <v>24</v>
      </c>
      <c r="D656">
        <v>637450</v>
      </c>
      <c r="E656" s="3">
        <v>1000000</v>
      </c>
      <c r="F656">
        <v>80871</v>
      </c>
      <c r="G656">
        <v>74</v>
      </c>
      <c r="H656">
        <v>87970</v>
      </c>
      <c r="I656">
        <v>38824</v>
      </c>
      <c r="J656">
        <v>36785</v>
      </c>
      <c r="K656">
        <v>2019</v>
      </c>
    </row>
    <row r="657" spans="1:11" x14ac:dyDescent="0.3">
      <c r="A657">
        <v>30</v>
      </c>
      <c r="B657" s="1" t="s">
        <v>52</v>
      </c>
      <c r="C657" s="1" t="s">
        <v>12</v>
      </c>
      <c r="D657">
        <v>635410</v>
      </c>
      <c r="E657" s="3">
        <v>763488</v>
      </c>
      <c r="F657">
        <v>91426</v>
      </c>
      <c r="G657">
        <v>77</v>
      </c>
      <c r="H657">
        <v>57362</v>
      </c>
      <c r="I657">
        <v>27022</v>
      </c>
      <c r="J657">
        <v>17355</v>
      </c>
      <c r="K657">
        <v>2019</v>
      </c>
    </row>
    <row r="658" spans="1:11" x14ac:dyDescent="0.3">
      <c r="A658">
        <v>31</v>
      </c>
      <c r="B658" s="1" t="s">
        <v>40</v>
      </c>
      <c r="C658" s="1" t="s">
        <v>26</v>
      </c>
      <c r="D658">
        <v>632130</v>
      </c>
      <c r="E658" s="3">
        <v>682503</v>
      </c>
      <c r="F658">
        <v>88785</v>
      </c>
      <c r="G658">
        <v>75</v>
      </c>
      <c r="H658">
        <v>81690</v>
      </c>
      <c r="I658">
        <v>19227</v>
      </c>
      <c r="J658">
        <v>11992</v>
      </c>
      <c r="K658">
        <v>2019</v>
      </c>
    </row>
    <row r="659" spans="1:11" x14ac:dyDescent="0.3">
      <c r="A659">
        <v>32</v>
      </c>
      <c r="B659" s="1" t="s">
        <v>30</v>
      </c>
      <c r="C659" s="1" t="s">
        <v>26</v>
      </c>
      <c r="D659">
        <v>629980</v>
      </c>
      <c r="E659" s="3">
        <v>596248</v>
      </c>
      <c r="F659">
        <v>88621</v>
      </c>
      <c r="G659">
        <v>72</v>
      </c>
      <c r="H659">
        <v>61761</v>
      </c>
      <c r="I659">
        <v>17536</v>
      </c>
      <c r="J659">
        <v>18922</v>
      </c>
      <c r="K659">
        <v>2019</v>
      </c>
    </row>
    <row r="660" spans="1:11" x14ac:dyDescent="0.3">
      <c r="A660">
        <v>33</v>
      </c>
      <c r="B660" s="1" t="s">
        <v>48</v>
      </c>
      <c r="C660" s="1" t="s">
        <v>26</v>
      </c>
      <c r="D660">
        <v>629330</v>
      </c>
      <c r="E660" s="3">
        <v>667640</v>
      </c>
      <c r="F660">
        <v>90209</v>
      </c>
      <c r="G660">
        <v>74</v>
      </c>
      <c r="H660">
        <v>82773</v>
      </c>
      <c r="I660">
        <v>22358</v>
      </c>
      <c r="J660">
        <v>33236</v>
      </c>
      <c r="K660">
        <v>2019</v>
      </c>
    </row>
    <row r="661" spans="1:11" x14ac:dyDescent="0.3">
      <c r="A661">
        <v>34</v>
      </c>
      <c r="B661" s="1" t="s">
        <v>38</v>
      </c>
      <c r="C661" s="1" t="s">
        <v>39</v>
      </c>
      <c r="D661">
        <v>626200</v>
      </c>
      <c r="E661" s="3">
        <v>933188</v>
      </c>
      <c r="F661">
        <v>90119</v>
      </c>
      <c r="G661">
        <v>79</v>
      </c>
      <c r="H661">
        <v>88089</v>
      </c>
      <c r="I661">
        <v>47822</v>
      </c>
      <c r="J661">
        <v>100000</v>
      </c>
      <c r="K661">
        <v>2019</v>
      </c>
    </row>
    <row r="662" spans="1:11" x14ac:dyDescent="0.3">
      <c r="A662">
        <v>35</v>
      </c>
      <c r="B662" s="1" t="s">
        <v>59</v>
      </c>
      <c r="C662" s="1" t="s">
        <v>26</v>
      </c>
      <c r="D662">
        <v>625310</v>
      </c>
      <c r="E662" s="3">
        <v>471618</v>
      </c>
      <c r="F662">
        <v>76470</v>
      </c>
      <c r="G662">
        <v>72</v>
      </c>
      <c r="H662">
        <v>68144</v>
      </c>
      <c r="I662">
        <v>16451</v>
      </c>
      <c r="J662">
        <v>16430</v>
      </c>
      <c r="K662">
        <v>2019</v>
      </c>
    </row>
    <row r="663" spans="1:11" x14ac:dyDescent="0.3">
      <c r="A663">
        <v>36</v>
      </c>
      <c r="B663" s="1" t="s">
        <v>68</v>
      </c>
      <c r="C663" s="1" t="s">
        <v>12</v>
      </c>
      <c r="D663">
        <v>622340</v>
      </c>
      <c r="E663" s="3">
        <v>768618</v>
      </c>
      <c r="F663">
        <v>91647</v>
      </c>
      <c r="G663">
        <v>77</v>
      </c>
      <c r="H663">
        <v>36560</v>
      </c>
      <c r="I663">
        <v>27917</v>
      </c>
      <c r="J663">
        <v>6596</v>
      </c>
      <c r="K663">
        <v>2019</v>
      </c>
    </row>
    <row r="664" spans="1:11" x14ac:dyDescent="0.3">
      <c r="A664">
        <v>37</v>
      </c>
      <c r="B664" s="1" t="s">
        <v>67</v>
      </c>
      <c r="C664" s="1" t="s">
        <v>24</v>
      </c>
      <c r="D664">
        <v>619940</v>
      </c>
      <c r="E664" s="3">
        <v>808631</v>
      </c>
      <c r="F664">
        <v>84227</v>
      </c>
      <c r="G664">
        <v>74</v>
      </c>
      <c r="H664">
        <v>84863</v>
      </c>
      <c r="I664">
        <v>45063</v>
      </c>
      <c r="J664">
        <v>24331</v>
      </c>
      <c r="K664">
        <v>2019</v>
      </c>
    </row>
    <row r="665" spans="1:11" x14ac:dyDescent="0.3">
      <c r="A665">
        <v>38</v>
      </c>
      <c r="B665" s="1" t="s">
        <v>63</v>
      </c>
      <c r="C665" s="1" t="s">
        <v>47</v>
      </c>
      <c r="D665">
        <v>619760</v>
      </c>
      <c r="E665" s="3">
        <v>740000</v>
      </c>
      <c r="F665">
        <v>92652</v>
      </c>
      <c r="G665">
        <v>74</v>
      </c>
      <c r="H665">
        <v>52940</v>
      </c>
      <c r="I665">
        <v>21371</v>
      </c>
      <c r="J665">
        <v>3102</v>
      </c>
      <c r="K665">
        <v>2019</v>
      </c>
    </row>
    <row r="666" spans="1:11" x14ac:dyDescent="0.3">
      <c r="A666">
        <v>39</v>
      </c>
      <c r="B666" s="1" t="s">
        <v>58</v>
      </c>
      <c r="C666" s="1" t="s">
        <v>26</v>
      </c>
      <c r="D666">
        <v>619190</v>
      </c>
      <c r="E666" s="3">
        <v>730693</v>
      </c>
      <c r="F666">
        <v>90947</v>
      </c>
      <c r="G666">
        <v>71</v>
      </c>
      <c r="H666">
        <v>77533</v>
      </c>
      <c r="I666">
        <v>32741</v>
      </c>
      <c r="J666">
        <v>3457</v>
      </c>
      <c r="K666">
        <v>2019</v>
      </c>
    </row>
    <row r="667" spans="1:11" x14ac:dyDescent="0.3">
      <c r="A667">
        <v>40</v>
      </c>
      <c r="B667" s="1" t="s">
        <v>78</v>
      </c>
      <c r="C667" s="1" t="s">
        <v>47</v>
      </c>
      <c r="D667">
        <v>618170</v>
      </c>
      <c r="E667" s="3">
        <v>716074</v>
      </c>
      <c r="F667">
        <v>88595</v>
      </c>
      <c r="G667">
        <v>74</v>
      </c>
      <c r="H667">
        <v>76476</v>
      </c>
      <c r="I667">
        <v>20633</v>
      </c>
      <c r="J667">
        <v>11154</v>
      </c>
      <c r="K667">
        <v>2019</v>
      </c>
    </row>
    <row r="668" spans="1:11" x14ac:dyDescent="0.3">
      <c r="A668">
        <v>41</v>
      </c>
      <c r="B668" s="1" t="s">
        <v>61</v>
      </c>
      <c r="C668" s="1" t="s">
        <v>62</v>
      </c>
      <c r="D668">
        <v>617410</v>
      </c>
      <c r="E668" s="3">
        <v>442445</v>
      </c>
      <c r="F668">
        <v>94177</v>
      </c>
      <c r="G668">
        <v>72</v>
      </c>
      <c r="H668">
        <v>100000</v>
      </c>
      <c r="I668">
        <v>56928</v>
      </c>
      <c r="J668">
        <v>52985</v>
      </c>
      <c r="K668">
        <v>2019</v>
      </c>
    </row>
    <row r="669" spans="1:11" x14ac:dyDescent="0.3">
      <c r="A669">
        <v>42</v>
      </c>
      <c r="B669" s="1" t="s">
        <v>74</v>
      </c>
      <c r="C669" s="1" t="s">
        <v>12</v>
      </c>
      <c r="D669">
        <v>614900</v>
      </c>
      <c r="E669" s="3">
        <v>735239</v>
      </c>
      <c r="F669">
        <v>93325</v>
      </c>
      <c r="G669">
        <v>73</v>
      </c>
      <c r="H669">
        <v>46163</v>
      </c>
      <c r="I669">
        <v>7536</v>
      </c>
      <c r="J669">
        <v>9236</v>
      </c>
      <c r="K669">
        <v>2019</v>
      </c>
    </row>
    <row r="670" spans="1:11" x14ac:dyDescent="0.3">
      <c r="A670">
        <v>43</v>
      </c>
      <c r="B670" s="1" t="s">
        <v>49</v>
      </c>
      <c r="C670" s="1" t="s">
        <v>26</v>
      </c>
      <c r="D670">
        <v>612480</v>
      </c>
      <c r="E670" s="3">
        <v>585077</v>
      </c>
      <c r="F670">
        <v>86822</v>
      </c>
      <c r="G670">
        <v>73</v>
      </c>
      <c r="H670">
        <v>74400</v>
      </c>
      <c r="I670">
        <v>17434</v>
      </c>
      <c r="J670">
        <v>7539</v>
      </c>
      <c r="K670">
        <v>2019</v>
      </c>
    </row>
    <row r="671" spans="1:11" x14ac:dyDescent="0.3">
      <c r="A671">
        <v>44</v>
      </c>
      <c r="B671" s="1" t="s">
        <v>73</v>
      </c>
      <c r="C671" s="1" t="s">
        <v>47</v>
      </c>
      <c r="D671">
        <v>611770</v>
      </c>
      <c r="E671" s="3">
        <v>746925</v>
      </c>
      <c r="F671">
        <v>93810</v>
      </c>
      <c r="G671">
        <v>75</v>
      </c>
      <c r="H671">
        <v>89330</v>
      </c>
      <c r="I671">
        <v>25499</v>
      </c>
      <c r="J671">
        <v>12641</v>
      </c>
      <c r="K671">
        <v>2019</v>
      </c>
    </row>
    <row r="672" spans="1:11" x14ac:dyDescent="0.3">
      <c r="A672">
        <v>45</v>
      </c>
      <c r="B672" s="1" t="s">
        <v>75</v>
      </c>
      <c r="C672" s="1" t="s">
        <v>26</v>
      </c>
      <c r="D672">
        <v>610500</v>
      </c>
      <c r="E672" s="3">
        <v>412021</v>
      </c>
      <c r="F672">
        <v>81577</v>
      </c>
      <c r="G672">
        <v>73</v>
      </c>
      <c r="H672">
        <v>68852</v>
      </c>
      <c r="I672">
        <v>35259</v>
      </c>
      <c r="J672">
        <v>28139</v>
      </c>
      <c r="K672">
        <v>2019</v>
      </c>
    </row>
    <row r="673" spans="1:11" x14ac:dyDescent="0.3">
      <c r="A673">
        <v>46</v>
      </c>
      <c r="B673" s="1" t="s">
        <v>87</v>
      </c>
      <c r="C673" s="1" t="s">
        <v>47</v>
      </c>
      <c r="D673">
        <v>610000</v>
      </c>
      <c r="E673" s="3">
        <v>523937</v>
      </c>
      <c r="F673">
        <v>75906</v>
      </c>
      <c r="G673">
        <v>72</v>
      </c>
      <c r="H673">
        <v>77540</v>
      </c>
      <c r="I673">
        <v>46305</v>
      </c>
      <c r="J673">
        <v>1424</v>
      </c>
      <c r="K673">
        <v>2019</v>
      </c>
    </row>
    <row r="674" spans="1:11" x14ac:dyDescent="0.3">
      <c r="A674">
        <v>47</v>
      </c>
      <c r="B674" s="1" t="s">
        <v>45</v>
      </c>
      <c r="C674" s="1" t="s">
        <v>26</v>
      </c>
      <c r="D674">
        <v>608630</v>
      </c>
      <c r="E674" s="3">
        <v>648132</v>
      </c>
      <c r="F674">
        <v>88166</v>
      </c>
      <c r="G674">
        <v>74</v>
      </c>
      <c r="H674">
        <v>74557</v>
      </c>
      <c r="I674">
        <v>11650</v>
      </c>
      <c r="J674">
        <v>10978</v>
      </c>
      <c r="K674">
        <v>2019</v>
      </c>
    </row>
    <row r="675" spans="1:11" x14ac:dyDescent="0.3">
      <c r="A675">
        <v>48</v>
      </c>
      <c r="B675" s="1" t="s">
        <v>106</v>
      </c>
      <c r="C675" s="1" t="s">
        <v>47</v>
      </c>
      <c r="D675">
        <v>606970</v>
      </c>
      <c r="E675" s="3">
        <v>689896</v>
      </c>
      <c r="F675">
        <v>75848</v>
      </c>
      <c r="G675">
        <v>73</v>
      </c>
      <c r="H675">
        <v>73214</v>
      </c>
      <c r="I675">
        <v>14604</v>
      </c>
      <c r="J675">
        <v>1056</v>
      </c>
      <c r="K675">
        <v>2019</v>
      </c>
    </row>
    <row r="676" spans="1:11" x14ac:dyDescent="0.3">
      <c r="A676">
        <v>49</v>
      </c>
      <c r="B676" s="1" t="s">
        <v>85</v>
      </c>
      <c r="C676" s="1" t="s">
        <v>186</v>
      </c>
      <c r="D676">
        <v>604580</v>
      </c>
      <c r="E676" s="3">
        <v>750051</v>
      </c>
      <c r="F676">
        <v>75329</v>
      </c>
      <c r="G676">
        <v>77</v>
      </c>
      <c r="H676">
        <v>64287</v>
      </c>
      <c r="I676">
        <v>33664</v>
      </c>
      <c r="J676">
        <v>8973</v>
      </c>
      <c r="K676">
        <v>2019</v>
      </c>
    </row>
    <row r="677" spans="1:11" x14ac:dyDescent="0.3">
      <c r="A677">
        <v>50</v>
      </c>
      <c r="B677" s="1" t="s">
        <v>66</v>
      </c>
      <c r="C677" s="1" t="s">
        <v>26</v>
      </c>
      <c r="D677">
        <v>602760</v>
      </c>
      <c r="E677" s="3">
        <v>541414</v>
      </c>
      <c r="F677">
        <v>80812</v>
      </c>
      <c r="G677">
        <v>74</v>
      </c>
      <c r="H677">
        <v>78813</v>
      </c>
      <c r="I677">
        <v>22310</v>
      </c>
      <c r="J677">
        <v>19277</v>
      </c>
      <c r="K677">
        <v>2019</v>
      </c>
    </row>
    <row r="678" spans="1:11" x14ac:dyDescent="0.3">
      <c r="A678">
        <v>51</v>
      </c>
      <c r="B678" s="1" t="s">
        <v>56</v>
      </c>
      <c r="C678" s="1" t="s">
        <v>24</v>
      </c>
      <c r="D678">
        <v>602070</v>
      </c>
      <c r="E678" s="3">
        <v>890841</v>
      </c>
      <c r="F678">
        <v>81230</v>
      </c>
      <c r="G678">
        <v>73</v>
      </c>
      <c r="H678">
        <v>78065</v>
      </c>
      <c r="I678">
        <v>25036</v>
      </c>
      <c r="J678">
        <v>21516</v>
      </c>
      <c r="K678">
        <v>2019</v>
      </c>
    </row>
    <row r="679" spans="1:11" x14ac:dyDescent="0.3">
      <c r="A679">
        <v>52</v>
      </c>
      <c r="B679" s="1" t="s">
        <v>50</v>
      </c>
      <c r="C679" s="1" t="s">
        <v>39</v>
      </c>
      <c r="D679">
        <v>600800</v>
      </c>
      <c r="E679" s="3">
        <v>623303</v>
      </c>
      <c r="F679">
        <v>86769</v>
      </c>
      <c r="G679">
        <v>73</v>
      </c>
      <c r="H679">
        <v>88265</v>
      </c>
      <c r="I679">
        <v>63442</v>
      </c>
      <c r="J679">
        <v>6184</v>
      </c>
      <c r="K679">
        <v>2019</v>
      </c>
    </row>
    <row r="680" spans="1:11" x14ac:dyDescent="0.3">
      <c r="A680">
        <v>53</v>
      </c>
      <c r="B680" s="1" t="s">
        <v>109</v>
      </c>
      <c r="C680" s="1" t="s">
        <v>12</v>
      </c>
      <c r="D680">
        <v>593970</v>
      </c>
      <c r="E680" s="3">
        <v>704728</v>
      </c>
      <c r="F680">
        <v>90211</v>
      </c>
      <c r="G680">
        <v>73</v>
      </c>
      <c r="H680">
        <v>41886</v>
      </c>
      <c r="I680">
        <v>13241</v>
      </c>
      <c r="J680">
        <v>14108</v>
      </c>
      <c r="K680">
        <v>2019</v>
      </c>
    </row>
    <row r="681" spans="1:11" x14ac:dyDescent="0.3">
      <c r="A681">
        <v>54</v>
      </c>
      <c r="B681" s="1" t="s">
        <v>65</v>
      </c>
      <c r="C681" s="1" t="s">
        <v>55</v>
      </c>
      <c r="D681">
        <v>589470</v>
      </c>
      <c r="E681" s="3">
        <v>772522</v>
      </c>
      <c r="F681">
        <v>75089</v>
      </c>
      <c r="G681">
        <v>77</v>
      </c>
      <c r="H681">
        <v>25236</v>
      </c>
      <c r="I681">
        <v>30875</v>
      </c>
      <c r="J681">
        <v>12378</v>
      </c>
      <c r="K681">
        <v>2019</v>
      </c>
    </row>
    <row r="682" spans="1:11" x14ac:dyDescent="0.3">
      <c r="A682">
        <v>55</v>
      </c>
      <c r="B682" s="1" t="s">
        <v>92</v>
      </c>
      <c r="C682" s="1" t="s">
        <v>12</v>
      </c>
      <c r="D682">
        <v>589350</v>
      </c>
      <c r="E682" s="3">
        <v>734417</v>
      </c>
      <c r="F682">
        <v>94099</v>
      </c>
      <c r="G682">
        <v>74</v>
      </c>
      <c r="H682">
        <v>78441</v>
      </c>
      <c r="I682">
        <v>18213</v>
      </c>
      <c r="J682">
        <v>35525</v>
      </c>
      <c r="K682">
        <v>2019</v>
      </c>
    </row>
    <row r="683" spans="1:11" x14ac:dyDescent="0.3">
      <c r="A683">
        <v>56</v>
      </c>
      <c r="B683" s="1" t="s">
        <v>83</v>
      </c>
      <c r="C683" s="1" t="s">
        <v>26</v>
      </c>
      <c r="D683">
        <v>588980</v>
      </c>
      <c r="E683" s="3">
        <v>493592</v>
      </c>
      <c r="F683">
        <v>91008</v>
      </c>
      <c r="G683">
        <v>73</v>
      </c>
      <c r="H683">
        <v>77563</v>
      </c>
      <c r="I683">
        <v>18897</v>
      </c>
      <c r="J683">
        <v>6239</v>
      </c>
      <c r="K683">
        <v>2019</v>
      </c>
    </row>
    <row r="684" spans="1:11" x14ac:dyDescent="0.3">
      <c r="A684">
        <v>57</v>
      </c>
      <c r="B684" s="1" t="s">
        <v>89</v>
      </c>
      <c r="C684" s="1" t="s">
        <v>90</v>
      </c>
      <c r="D684">
        <v>588820</v>
      </c>
      <c r="E684" s="3">
        <v>664941</v>
      </c>
      <c r="F684">
        <v>86328</v>
      </c>
      <c r="G684">
        <v>72</v>
      </c>
      <c r="H684">
        <v>78911</v>
      </c>
      <c r="I684">
        <v>38051</v>
      </c>
      <c r="J684">
        <v>13150</v>
      </c>
      <c r="K684">
        <v>2019</v>
      </c>
    </row>
    <row r="685" spans="1:11" x14ac:dyDescent="0.3">
      <c r="A685">
        <v>58</v>
      </c>
      <c r="B685" s="1" t="s">
        <v>64</v>
      </c>
      <c r="C685" s="1" t="s">
        <v>55</v>
      </c>
      <c r="D685">
        <v>588610</v>
      </c>
      <c r="E685" s="3">
        <v>787667</v>
      </c>
      <c r="F685">
        <v>87371</v>
      </c>
      <c r="G685">
        <v>78</v>
      </c>
      <c r="H685">
        <v>70489</v>
      </c>
      <c r="I685">
        <v>12169</v>
      </c>
      <c r="J685">
        <v>30974</v>
      </c>
      <c r="K685">
        <v>2019</v>
      </c>
    </row>
    <row r="686" spans="1:11" x14ac:dyDescent="0.3">
      <c r="A686">
        <v>59</v>
      </c>
      <c r="B686" s="1" t="s">
        <v>125</v>
      </c>
      <c r="C686" s="1" t="s">
        <v>26</v>
      </c>
      <c r="D686">
        <v>586040</v>
      </c>
      <c r="E686" s="3">
        <v>381447</v>
      </c>
      <c r="F686">
        <v>76135</v>
      </c>
      <c r="G686">
        <v>73</v>
      </c>
      <c r="H686">
        <v>80340</v>
      </c>
      <c r="I686">
        <v>43420</v>
      </c>
      <c r="J686">
        <v>17303</v>
      </c>
      <c r="K686">
        <v>2019</v>
      </c>
    </row>
    <row r="687" spans="1:11" x14ac:dyDescent="0.3">
      <c r="A687">
        <v>60</v>
      </c>
      <c r="B687" s="1" t="s">
        <v>72</v>
      </c>
      <c r="C687" s="1" t="s">
        <v>62</v>
      </c>
      <c r="D687">
        <v>580880</v>
      </c>
      <c r="E687" s="3">
        <v>696798</v>
      </c>
      <c r="F687">
        <v>92860</v>
      </c>
      <c r="G687">
        <v>71</v>
      </c>
      <c r="H687">
        <v>64928</v>
      </c>
      <c r="I687">
        <v>25759</v>
      </c>
      <c r="J687">
        <v>21276</v>
      </c>
      <c r="K687">
        <v>2019</v>
      </c>
    </row>
    <row r="688" spans="1:11" x14ac:dyDescent="0.3">
      <c r="A688">
        <v>61</v>
      </c>
      <c r="B688" s="1" t="s">
        <v>69</v>
      </c>
      <c r="C688" s="1" t="s">
        <v>26</v>
      </c>
      <c r="D688">
        <v>577930</v>
      </c>
      <c r="E688" s="3">
        <v>460595</v>
      </c>
      <c r="F688">
        <v>74474</v>
      </c>
      <c r="G688">
        <v>71</v>
      </c>
      <c r="H688">
        <v>81029</v>
      </c>
      <c r="I688">
        <v>24135</v>
      </c>
      <c r="J688">
        <v>14237</v>
      </c>
      <c r="K688">
        <v>2019</v>
      </c>
    </row>
    <row r="689" spans="1:11" x14ac:dyDescent="0.3">
      <c r="A689">
        <v>62</v>
      </c>
      <c r="B689" s="1" t="s">
        <v>124</v>
      </c>
      <c r="C689" s="1" t="s">
        <v>47</v>
      </c>
      <c r="D689">
        <v>575830</v>
      </c>
      <c r="E689" s="3">
        <v>713196</v>
      </c>
      <c r="F689">
        <v>86823</v>
      </c>
      <c r="G689">
        <v>73</v>
      </c>
      <c r="H689">
        <v>31589</v>
      </c>
      <c r="I689">
        <v>14246</v>
      </c>
      <c r="J689">
        <v>4367</v>
      </c>
      <c r="K689">
        <v>2019</v>
      </c>
    </row>
    <row r="690" spans="1:11" x14ac:dyDescent="0.3">
      <c r="A690">
        <v>63</v>
      </c>
      <c r="B690" s="1" t="s">
        <v>71</v>
      </c>
      <c r="C690" s="1" t="s">
        <v>26</v>
      </c>
      <c r="D690">
        <v>574270</v>
      </c>
      <c r="E690" s="3">
        <v>507969</v>
      </c>
      <c r="F690">
        <v>90866</v>
      </c>
      <c r="G690">
        <v>72</v>
      </c>
      <c r="H690">
        <v>81454</v>
      </c>
      <c r="I690">
        <v>32465</v>
      </c>
      <c r="J690">
        <v>17726</v>
      </c>
      <c r="K690">
        <v>2019</v>
      </c>
    </row>
    <row r="691" spans="1:11" x14ac:dyDescent="0.3">
      <c r="A691">
        <v>65</v>
      </c>
      <c r="B691" s="1" t="s">
        <v>76</v>
      </c>
      <c r="C691" s="1" t="s">
        <v>26</v>
      </c>
      <c r="D691">
        <v>569710</v>
      </c>
      <c r="E691" s="3">
        <v>569922</v>
      </c>
      <c r="F691">
        <v>78446</v>
      </c>
      <c r="G691">
        <v>73</v>
      </c>
      <c r="H691">
        <v>72005</v>
      </c>
      <c r="I691">
        <v>14743</v>
      </c>
      <c r="J691">
        <v>6050</v>
      </c>
      <c r="K691">
        <v>2019</v>
      </c>
    </row>
    <row r="692" spans="1:11" x14ac:dyDescent="0.3">
      <c r="A692">
        <v>66</v>
      </c>
      <c r="B692" s="1" t="s">
        <v>108</v>
      </c>
      <c r="C692" s="1" t="s">
        <v>12</v>
      </c>
      <c r="D692">
        <v>569250</v>
      </c>
      <c r="E692" s="3">
        <v>724859</v>
      </c>
      <c r="F692">
        <v>88123</v>
      </c>
      <c r="G692">
        <v>76</v>
      </c>
      <c r="H692">
        <v>80494</v>
      </c>
      <c r="I692">
        <v>8274</v>
      </c>
      <c r="J692">
        <v>5515</v>
      </c>
      <c r="K692">
        <v>2019</v>
      </c>
    </row>
    <row r="693" spans="1:11" x14ac:dyDescent="0.3">
      <c r="A693">
        <v>67</v>
      </c>
      <c r="B693" s="1" t="s">
        <v>101</v>
      </c>
      <c r="C693" s="1" t="s">
        <v>99</v>
      </c>
      <c r="D693">
        <v>565300</v>
      </c>
      <c r="E693" s="3">
        <v>401712</v>
      </c>
      <c r="F693">
        <v>54585</v>
      </c>
      <c r="G693">
        <v>68</v>
      </c>
      <c r="H693">
        <v>49627</v>
      </c>
      <c r="I693">
        <v>38947</v>
      </c>
      <c r="J693">
        <v>21627</v>
      </c>
      <c r="K693">
        <v>2019</v>
      </c>
    </row>
    <row r="694" spans="1:11" x14ac:dyDescent="0.3">
      <c r="A694">
        <v>68</v>
      </c>
      <c r="B694" s="1" t="s">
        <v>82</v>
      </c>
      <c r="C694" s="1" t="s">
        <v>62</v>
      </c>
      <c r="D694">
        <v>564790</v>
      </c>
      <c r="E694" s="3">
        <v>702520</v>
      </c>
      <c r="F694">
        <v>89451</v>
      </c>
      <c r="G694">
        <v>71</v>
      </c>
      <c r="H694">
        <v>52956</v>
      </c>
      <c r="I694">
        <v>14501</v>
      </c>
      <c r="J694">
        <v>6817</v>
      </c>
      <c r="K694">
        <v>2019</v>
      </c>
    </row>
    <row r="695" spans="1:11" x14ac:dyDescent="0.3">
      <c r="A695">
        <v>69</v>
      </c>
      <c r="B695" s="1" t="s">
        <v>110</v>
      </c>
      <c r="C695" s="1" t="s">
        <v>39</v>
      </c>
      <c r="D695">
        <v>563140</v>
      </c>
      <c r="E695" s="3">
        <v>479405</v>
      </c>
      <c r="F695">
        <v>79609</v>
      </c>
      <c r="G695">
        <v>70</v>
      </c>
      <c r="H695">
        <v>88426</v>
      </c>
      <c r="I695">
        <v>20728</v>
      </c>
      <c r="J695">
        <v>23638</v>
      </c>
      <c r="K695">
        <v>2019</v>
      </c>
    </row>
    <row r="696" spans="1:11" x14ac:dyDescent="0.3">
      <c r="A696">
        <v>70</v>
      </c>
      <c r="B696" s="1" t="s">
        <v>107</v>
      </c>
      <c r="C696" s="1" t="s">
        <v>47</v>
      </c>
      <c r="D696">
        <v>560300</v>
      </c>
      <c r="E696" s="3">
        <v>596054</v>
      </c>
      <c r="F696">
        <v>85176</v>
      </c>
      <c r="G696">
        <v>73</v>
      </c>
      <c r="H696">
        <v>44733</v>
      </c>
      <c r="I696">
        <v>24171</v>
      </c>
      <c r="J696">
        <v>8527</v>
      </c>
      <c r="K696">
        <v>2019</v>
      </c>
    </row>
    <row r="697" spans="1:11" x14ac:dyDescent="0.3">
      <c r="A697">
        <v>71</v>
      </c>
      <c r="B697" s="1" t="s">
        <v>70</v>
      </c>
      <c r="C697" s="1" t="s">
        <v>47</v>
      </c>
      <c r="D697">
        <v>552850</v>
      </c>
      <c r="E697" s="3">
        <v>406975</v>
      </c>
      <c r="F697">
        <v>81790</v>
      </c>
      <c r="G697">
        <v>71</v>
      </c>
      <c r="H697">
        <v>38855</v>
      </c>
      <c r="I697">
        <v>31909</v>
      </c>
      <c r="J697">
        <v>0</v>
      </c>
      <c r="K697">
        <v>2019</v>
      </c>
    </row>
    <row r="698" spans="1:11" x14ac:dyDescent="0.3">
      <c r="A698">
        <v>72</v>
      </c>
      <c r="B698" s="1" t="s">
        <v>81</v>
      </c>
      <c r="C698" s="1" t="s">
        <v>24</v>
      </c>
      <c r="D698">
        <v>552530</v>
      </c>
      <c r="E698" s="3">
        <v>619944</v>
      </c>
      <c r="F698">
        <v>80267</v>
      </c>
      <c r="G698">
        <v>70</v>
      </c>
      <c r="H698">
        <v>65920</v>
      </c>
      <c r="I698">
        <v>23451</v>
      </c>
      <c r="J698">
        <v>33550</v>
      </c>
      <c r="K698">
        <v>2019</v>
      </c>
    </row>
    <row r="699" spans="1:11" x14ac:dyDescent="0.3">
      <c r="A699">
        <v>73</v>
      </c>
      <c r="B699" s="1" t="s">
        <v>102</v>
      </c>
      <c r="C699" s="1" t="s">
        <v>47</v>
      </c>
      <c r="D699">
        <v>552290</v>
      </c>
      <c r="E699" s="3">
        <v>623809</v>
      </c>
      <c r="F699">
        <v>83806</v>
      </c>
      <c r="G699">
        <v>74</v>
      </c>
      <c r="H699">
        <v>31198</v>
      </c>
      <c r="I699">
        <v>25141</v>
      </c>
      <c r="J699">
        <v>17662</v>
      </c>
      <c r="K699">
        <v>2019</v>
      </c>
    </row>
    <row r="700" spans="1:11" x14ac:dyDescent="0.3">
      <c r="A700">
        <v>74</v>
      </c>
      <c r="B700" s="1" t="s">
        <v>126</v>
      </c>
      <c r="C700" s="1" t="s">
        <v>62</v>
      </c>
      <c r="D700">
        <v>546730</v>
      </c>
      <c r="E700" s="3">
        <v>292809</v>
      </c>
      <c r="F700">
        <v>67599</v>
      </c>
      <c r="G700">
        <v>71</v>
      </c>
      <c r="H700">
        <v>61554</v>
      </c>
      <c r="I700">
        <v>40597</v>
      </c>
      <c r="J700">
        <v>31779</v>
      </c>
      <c r="K700">
        <v>2019</v>
      </c>
    </row>
    <row r="701" spans="1:11" x14ac:dyDescent="0.3">
      <c r="A701">
        <v>75</v>
      </c>
      <c r="B701" s="1" t="s">
        <v>80</v>
      </c>
      <c r="C701" s="1" t="s">
        <v>47</v>
      </c>
      <c r="D701">
        <v>543180</v>
      </c>
      <c r="E701" s="3">
        <v>685640</v>
      </c>
      <c r="F701">
        <v>77959</v>
      </c>
      <c r="G701">
        <v>75</v>
      </c>
      <c r="H701">
        <v>46916</v>
      </c>
      <c r="I701">
        <v>21106</v>
      </c>
      <c r="J701">
        <v>4876</v>
      </c>
      <c r="K701">
        <v>2019</v>
      </c>
    </row>
    <row r="702" spans="1:11" x14ac:dyDescent="0.3">
      <c r="A702">
        <v>76</v>
      </c>
      <c r="B702" s="1" t="s">
        <v>91</v>
      </c>
      <c r="C702" s="1" t="s">
        <v>55</v>
      </c>
      <c r="D702">
        <v>543040</v>
      </c>
      <c r="E702" s="3">
        <v>853871</v>
      </c>
      <c r="F702">
        <v>78625</v>
      </c>
      <c r="G702">
        <v>78</v>
      </c>
      <c r="H702">
        <v>69644</v>
      </c>
      <c r="I702">
        <v>45539</v>
      </c>
      <c r="J702">
        <v>63472</v>
      </c>
      <c r="K702">
        <v>2019</v>
      </c>
    </row>
    <row r="703" spans="1:11" x14ac:dyDescent="0.3">
      <c r="A703">
        <v>77</v>
      </c>
      <c r="B703" s="1" t="s">
        <v>118</v>
      </c>
      <c r="C703" s="1" t="s">
        <v>26</v>
      </c>
      <c r="D703">
        <v>542530</v>
      </c>
      <c r="E703" s="3">
        <v>602949</v>
      </c>
      <c r="F703">
        <v>86316</v>
      </c>
      <c r="G703">
        <v>72</v>
      </c>
      <c r="H703">
        <v>78716</v>
      </c>
      <c r="I703">
        <v>19959</v>
      </c>
      <c r="J703">
        <v>22400</v>
      </c>
      <c r="K703">
        <v>2019</v>
      </c>
    </row>
    <row r="704" spans="1:11" x14ac:dyDescent="0.3">
      <c r="A704">
        <v>78</v>
      </c>
      <c r="B704" s="1" t="s">
        <v>116</v>
      </c>
      <c r="C704" s="1" t="s">
        <v>47</v>
      </c>
      <c r="D704">
        <v>538650</v>
      </c>
      <c r="E704" s="3">
        <v>561179</v>
      </c>
      <c r="F704">
        <v>74622</v>
      </c>
      <c r="G704">
        <v>73</v>
      </c>
      <c r="H704">
        <v>33634</v>
      </c>
      <c r="I704">
        <v>46461</v>
      </c>
      <c r="J704">
        <v>1220</v>
      </c>
      <c r="K704">
        <v>2019</v>
      </c>
    </row>
    <row r="705" spans="1:11" x14ac:dyDescent="0.3">
      <c r="A705">
        <v>79</v>
      </c>
      <c r="B705" s="1" t="s">
        <v>95</v>
      </c>
      <c r="C705" s="1" t="s">
        <v>24</v>
      </c>
      <c r="D705">
        <v>537260</v>
      </c>
      <c r="E705" s="3">
        <v>702743</v>
      </c>
      <c r="F705">
        <v>83788</v>
      </c>
      <c r="G705">
        <v>73</v>
      </c>
      <c r="H705">
        <v>30869</v>
      </c>
      <c r="I705">
        <v>14748</v>
      </c>
      <c r="J705">
        <v>23427</v>
      </c>
      <c r="K705">
        <v>2019</v>
      </c>
    </row>
    <row r="706" spans="1:11" x14ac:dyDescent="0.3">
      <c r="A706">
        <v>80</v>
      </c>
      <c r="B706" s="1" t="s">
        <v>79</v>
      </c>
      <c r="C706" s="1" t="s">
        <v>39</v>
      </c>
      <c r="D706">
        <v>533880</v>
      </c>
      <c r="E706" s="3">
        <v>724775</v>
      </c>
      <c r="F706">
        <v>72134</v>
      </c>
      <c r="G706">
        <v>73</v>
      </c>
      <c r="H706">
        <v>80502</v>
      </c>
      <c r="I706">
        <v>45962</v>
      </c>
      <c r="J706">
        <v>5367</v>
      </c>
      <c r="K706">
        <v>2019</v>
      </c>
    </row>
    <row r="707" spans="1:11" x14ac:dyDescent="0.3">
      <c r="A707">
        <v>81</v>
      </c>
      <c r="B707" s="1" t="s">
        <v>77</v>
      </c>
      <c r="C707" s="1" t="s">
        <v>62</v>
      </c>
      <c r="D707">
        <v>532250</v>
      </c>
      <c r="E707" s="3">
        <v>633591</v>
      </c>
      <c r="F707">
        <v>90256</v>
      </c>
      <c r="G707">
        <v>72</v>
      </c>
      <c r="H707">
        <v>37207</v>
      </c>
      <c r="I707">
        <v>16636</v>
      </c>
      <c r="J707">
        <v>31278</v>
      </c>
      <c r="K707">
        <v>2019</v>
      </c>
    </row>
    <row r="708" spans="1:11" x14ac:dyDescent="0.3">
      <c r="A708">
        <v>82</v>
      </c>
      <c r="B708" s="1" t="s">
        <v>122</v>
      </c>
      <c r="C708" s="1" t="s">
        <v>24</v>
      </c>
      <c r="D708">
        <v>528670</v>
      </c>
      <c r="E708" s="3">
        <v>701463</v>
      </c>
      <c r="F708">
        <v>71213</v>
      </c>
      <c r="G708">
        <v>76</v>
      </c>
      <c r="H708">
        <v>10625</v>
      </c>
      <c r="I708">
        <v>0</v>
      </c>
      <c r="J708">
        <v>7604</v>
      </c>
      <c r="K708">
        <v>2019</v>
      </c>
    </row>
    <row r="709" spans="1:11" x14ac:dyDescent="0.3">
      <c r="A709">
        <v>83</v>
      </c>
      <c r="B709" s="1" t="s">
        <v>120</v>
      </c>
      <c r="C709" s="1" t="s">
        <v>55</v>
      </c>
      <c r="D709">
        <v>528540</v>
      </c>
      <c r="E709" s="3">
        <v>562809</v>
      </c>
      <c r="F709">
        <v>94271</v>
      </c>
      <c r="G709">
        <v>70</v>
      </c>
      <c r="H709">
        <v>50144</v>
      </c>
      <c r="I709">
        <v>41571</v>
      </c>
      <c r="J709">
        <v>8387</v>
      </c>
      <c r="K709">
        <v>2019</v>
      </c>
    </row>
    <row r="710" spans="1:11" x14ac:dyDescent="0.3">
      <c r="A710">
        <v>84</v>
      </c>
      <c r="B710" s="1" t="s">
        <v>113</v>
      </c>
      <c r="C710" s="1" t="s">
        <v>47</v>
      </c>
      <c r="D710">
        <v>527360</v>
      </c>
      <c r="E710" s="3">
        <v>583769</v>
      </c>
      <c r="F710">
        <v>79692</v>
      </c>
      <c r="G710">
        <v>73</v>
      </c>
      <c r="H710">
        <v>54630</v>
      </c>
      <c r="I710">
        <v>32656</v>
      </c>
      <c r="J710">
        <v>7501</v>
      </c>
      <c r="K710">
        <v>2019</v>
      </c>
    </row>
    <row r="711" spans="1:11" x14ac:dyDescent="0.3">
      <c r="A711">
        <v>85</v>
      </c>
      <c r="B711" s="1" t="s">
        <v>97</v>
      </c>
      <c r="C711" s="1" t="s">
        <v>90</v>
      </c>
      <c r="D711">
        <v>526460</v>
      </c>
      <c r="E711" s="3">
        <v>413530</v>
      </c>
      <c r="F711">
        <v>68429</v>
      </c>
      <c r="G711">
        <v>62</v>
      </c>
      <c r="H711">
        <v>67486</v>
      </c>
      <c r="I711">
        <v>38055</v>
      </c>
      <c r="J711">
        <v>9018</v>
      </c>
      <c r="K711">
        <v>2019</v>
      </c>
    </row>
    <row r="712" spans="1:11" x14ac:dyDescent="0.3">
      <c r="A712">
        <v>86</v>
      </c>
      <c r="B712" s="1" t="s">
        <v>96</v>
      </c>
      <c r="C712" s="1" t="s">
        <v>62</v>
      </c>
      <c r="D712">
        <v>526070</v>
      </c>
      <c r="E712" s="3">
        <v>326924</v>
      </c>
      <c r="F712">
        <v>88558</v>
      </c>
      <c r="G712">
        <v>71</v>
      </c>
      <c r="H712">
        <v>80438</v>
      </c>
      <c r="I712">
        <v>53031</v>
      </c>
      <c r="J712">
        <v>5025</v>
      </c>
      <c r="K712">
        <v>2019</v>
      </c>
    </row>
    <row r="713" spans="1:11" x14ac:dyDescent="0.3">
      <c r="A713">
        <v>87</v>
      </c>
      <c r="B713" s="1" t="s">
        <v>88</v>
      </c>
      <c r="C713" s="1" t="s">
        <v>62</v>
      </c>
      <c r="D713">
        <v>524670</v>
      </c>
      <c r="E713" s="3">
        <v>624402</v>
      </c>
      <c r="F713">
        <v>94744</v>
      </c>
      <c r="G713">
        <v>70</v>
      </c>
      <c r="H713">
        <v>62493</v>
      </c>
      <c r="I713">
        <v>43133</v>
      </c>
      <c r="J713">
        <v>6129</v>
      </c>
      <c r="K713">
        <v>2019</v>
      </c>
    </row>
    <row r="714" spans="1:11" x14ac:dyDescent="0.3">
      <c r="A714">
        <v>88</v>
      </c>
      <c r="B714" s="1" t="s">
        <v>187</v>
      </c>
      <c r="C714" s="1" t="s">
        <v>24</v>
      </c>
      <c r="D714">
        <v>521130</v>
      </c>
      <c r="E714" s="3">
        <v>594691</v>
      </c>
      <c r="F714">
        <v>71420</v>
      </c>
      <c r="G714">
        <v>72</v>
      </c>
      <c r="H714">
        <v>13550</v>
      </c>
      <c r="I714">
        <v>12838</v>
      </c>
      <c r="J714">
        <v>25277</v>
      </c>
      <c r="K714">
        <v>2019</v>
      </c>
    </row>
    <row r="715" spans="1:11" x14ac:dyDescent="0.3">
      <c r="A715">
        <v>89</v>
      </c>
      <c r="B715" s="1" t="s">
        <v>112</v>
      </c>
      <c r="C715" s="1" t="s">
        <v>24</v>
      </c>
      <c r="D715">
        <v>520810</v>
      </c>
      <c r="E715" s="3">
        <v>475742</v>
      </c>
      <c r="F715">
        <v>48163</v>
      </c>
      <c r="G715">
        <v>72</v>
      </c>
      <c r="H715">
        <v>66156</v>
      </c>
      <c r="I715">
        <v>6292</v>
      </c>
      <c r="J715">
        <v>16807</v>
      </c>
      <c r="K715">
        <v>2019</v>
      </c>
    </row>
    <row r="716" spans="1:11" x14ac:dyDescent="0.3">
      <c r="A716">
        <v>90</v>
      </c>
      <c r="B716" s="1" t="s">
        <v>100</v>
      </c>
      <c r="C716" s="1" t="s">
        <v>62</v>
      </c>
      <c r="D716">
        <v>520770</v>
      </c>
      <c r="E716" s="3">
        <v>619207</v>
      </c>
      <c r="F716">
        <v>70664</v>
      </c>
      <c r="G716">
        <v>72</v>
      </c>
      <c r="H716">
        <v>55679</v>
      </c>
      <c r="I716">
        <v>6269</v>
      </c>
      <c r="J716">
        <v>40235</v>
      </c>
      <c r="K716">
        <v>2019</v>
      </c>
    </row>
    <row r="717" spans="1:11" x14ac:dyDescent="0.3">
      <c r="A717">
        <v>91</v>
      </c>
      <c r="B717" s="1" t="s">
        <v>123</v>
      </c>
      <c r="C717" s="1" t="s">
        <v>24</v>
      </c>
      <c r="D717">
        <v>519730</v>
      </c>
      <c r="E717" s="3">
        <v>586005</v>
      </c>
      <c r="F717">
        <v>75397</v>
      </c>
      <c r="G717">
        <v>73</v>
      </c>
      <c r="H717">
        <v>34181</v>
      </c>
      <c r="I717">
        <v>29350</v>
      </c>
      <c r="J717">
        <v>6047</v>
      </c>
      <c r="K717">
        <v>2019</v>
      </c>
    </row>
    <row r="718" spans="1:11" x14ac:dyDescent="0.3">
      <c r="A718">
        <v>92</v>
      </c>
      <c r="B718" s="1" t="s">
        <v>93</v>
      </c>
      <c r="C718" s="1" t="s">
        <v>39</v>
      </c>
      <c r="D718">
        <v>519240</v>
      </c>
      <c r="E718" s="3">
        <v>552577</v>
      </c>
      <c r="F718">
        <v>74068</v>
      </c>
      <c r="G718">
        <v>70</v>
      </c>
      <c r="H718">
        <v>77722</v>
      </c>
      <c r="I718">
        <v>88037</v>
      </c>
      <c r="J718">
        <v>6293</v>
      </c>
      <c r="K718">
        <v>2019</v>
      </c>
    </row>
    <row r="719" spans="1:11" x14ac:dyDescent="0.3">
      <c r="A719">
        <v>93</v>
      </c>
      <c r="B719" s="1" t="s">
        <v>104</v>
      </c>
      <c r="C719" s="1" t="s">
        <v>55</v>
      </c>
      <c r="D719">
        <v>519090</v>
      </c>
      <c r="E719" s="3">
        <v>610720</v>
      </c>
      <c r="F719">
        <v>69274</v>
      </c>
      <c r="G719">
        <v>74</v>
      </c>
      <c r="H719">
        <v>82563</v>
      </c>
      <c r="I719">
        <v>10213</v>
      </c>
      <c r="J719">
        <v>22006</v>
      </c>
      <c r="K719">
        <v>2019</v>
      </c>
    </row>
    <row r="720" spans="1:11" x14ac:dyDescent="0.3">
      <c r="A720">
        <v>94</v>
      </c>
      <c r="B720" s="1" t="s">
        <v>94</v>
      </c>
      <c r="C720" s="1" t="s">
        <v>39</v>
      </c>
      <c r="D720">
        <v>517530</v>
      </c>
      <c r="E720" s="3">
        <v>439867</v>
      </c>
      <c r="F720">
        <v>82913</v>
      </c>
      <c r="G720">
        <v>73</v>
      </c>
      <c r="H720">
        <v>85989</v>
      </c>
      <c r="I720">
        <v>26057</v>
      </c>
      <c r="J720">
        <v>16179</v>
      </c>
      <c r="K720">
        <v>2019</v>
      </c>
    </row>
    <row r="721" spans="1:11" x14ac:dyDescent="0.3">
      <c r="A721">
        <v>95</v>
      </c>
      <c r="B721" s="1" t="s">
        <v>98</v>
      </c>
      <c r="C721" s="1" t="s">
        <v>99</v>
      </c>
      <c r="D721">
        <v>508210</v>
      </c>
      <c r="E721" s="3">
        <v>482921</v>
      </c>
      <c r="F721">
        <v>81345</v>
      </c>
      <c r="G721">
        <v>69</v>
      </c>
      <c r="H721">
        <v>72324</v>
      </c>
      <c r="I721">
        <v>65477</v>
      </c>
      <c r="J721">
        <v>36937</v>
      </c>
      <c r="K721">
        <v>2019</v>
      </c>
    </row>
    <row r="722" spans="1:11" x14ac:dyDescent="0.3">
      <c r="A722">
        <v>96</v>
      </c>
      <c r="B722" s="1" t="s">
        <v>153</v>
      </c>
      <c r="C722" s="1" t="s">
        <v>90</v>
      </c>
      <c r="D722">
        <v>504370</v>
      </c>
      <c r="E722" s="3">
        <v>325968</v>
      </c>
      <c r="F722">
        <v>56053</v>
      </c>
      <c r="G722">
        <v>64</v>
      </c>
      <c r="H722">
        <v>60354</v>
      </c>
      <c r="I722">
        <v>33027</v>
      </c>
      <c r="J722">
        <v>8126</v>
      </c>
      <c r="K722">
        <v>2019</v>
      </c>
    </row>
    <row r="723" spans="1:11" x14ac:dyDescent="0.3">
      <c r="A723">
        <v>97</v>
      </c>
      <c r="B723" s="1" t="s">
        <v>154</v>
      </c>
      <c r="C723" s="1" t="s">
        <v>47</v>
      </c>
      <c r="D723">
        <v>501100</v>
      </c>
      <c r="E723" s="3">
        <v>648130</v>
      </c>
      <c r="F723">
        <v>93211</v>
      </c>
      <c r="G723">
        <v>73</v>
      </c>
      <c r="H723">
        <v>49234</v>
      </c>
      <c r="I723">
        <v>14269</v>
      </c>
      <c r="J723">
        <v>963</v>
      </c>
      <c r="K723">
        <v>2019</v>
      </c>
    </row>
    <row r="724" spans="1:11" x14ac:dyDescent="0.3">
      <c r="A724">
        <v>98</v>
      </c>
      <c r="B724" s="1" t="s">
        <v>134</v>
      </c>
      <c r="C724" s="1" t="s">
        <v>90</v>
      </c>
      <c r="D724">
        <v>499630</v>
      </c>
      <c r="E724" s="3">
        <v>363001</v>
      </c>
      <c r="F724">
        <v>53458</v>
      </c>
      <c r="G724">
        <v>67</v>
      </c>
      <c r="H724">
        <v>60278</v>
      </c>
      <c r="I724">
        <v>43227</v>
      </c>
      <c r="J724">
        <v>8735</v>
      </c>
      <c r="K724">
        <v>2019</v>
      </c>
    </row>
    <row r="725" spans="1:11" x14ac:dyDescent="0.3">
      <c r="A725">
        <v>99</v>
      </c>
      <c r="B725" s="1" t="s">
        <v>171</v>
      </c>
      <c r="C725" s="1" t="s">
        <v>90</v>
      </c>
      <c r="D725">
        <v>494380</v>
      </c>
      <c r="E725" s="3">
        <v>338023</v>
      </c>
      <c r="F725">
        <v>49734</v>
      </c>
      <c r="G725">
        <v>62</v>
      </c>
      <c r="H725">
        <v>55737</v>
      </c>
      <c r="I725">
        <v>27201</v>
      </c>
      <c r="J725">
        <v>19965</v>
      </c>
      <c r="K725">
        <v>2019</v>
      </c>
    </row>
    <row r="726" spans="1:11" x14ac:dyDescent="0.3">
      <c r="A726">
        <v>100</v>
      </c>
      <c r="B726" s="1" t="s">
        <v>141</v>
      </c>
      <c r="C726" s="1" t="s">
        <v>99</v>
      </c>
      <c r="D726">
        <v>491270</v>
      </c>
      <c r="E726" s="3">
        <v>264596</v>
      </c>
      <c r="F726">
        <v>75482</v>
      </c>
      <c r="G726">
        <v>70</v>
      </c>
      <c r="H726">
        <v>69592</v>
      </c>
      <c r="I726">
        <v>50315</v>
      </c>
      <c r="J726">
        <v>19689</v>
      </c>
      <c r="K726">
        <v>2019</v>
      </c>
    </row>
    <row r="727" spans="1:11" x14ac:dyDescent="0.3">
      <c r="A727">
        <v>101</v>
      </c>
      <c r="B727" s="1" t="s">
        <v>103</v>
      </c>
      <c r="C727" s="1" t="s">
        <v>24</v>
      </c>
      <c r="D727">
        <v>490570</v>
      </c>
      <c r="E727" s="3">
        <v>497014</v>
      </c>
      <c r="F727">
        <v>75424</v>
      </c>
      <c r="G727">
        <v>73</v>
      </c>
      <c r="H727">
        <v>60687</v>
      </c>
      <c r="I727">
        <v>19416</v>
      </c>
      <c r="J727">
        <v>28725</v>
      </c>
      <c r="K727">
        <v>2019</v>
      </c>
    </row>
    <row r="728" spans="1:11" x14ac:dyDescent="0.3">
      <c r="A728">
        <v>102</v>
      </c>
      <c r="B728" s="1" t="s">
        <v>175</v>
      </c>
      <c r="C728" s="1" t="s">
        <v>90</v>
      </c>
      <c r="D728">
        <v>488320</v>
      </c>
      <c r="E728" s="3">
        <v>233522</v>
      </c>
      <c r="F728">
        <v>26943</v>
      </c>
      <c r="G728">
        <v>65</v>
      </c>
      <c r="H728">
        <v>55357</v>
      </c>
      <c r="I728">
        <v>30998</v>
      </c>
      <c r="J728">
        <v>18011</v>
      </c>
      <c r="K728">
        <v>2019</v>
      </c>
    </row>
    <row r="729" spans="1:11" x14ac:dyDescent="0.3">
      <c r="A729">
        <v>103</v>
      </c>
      <c r="B729" s="1" t="s">
        <v>159</v>
      </c>
      <c r="C729" s="1" t="s">
        <v>90</v>
      </c>
      <c r="D729">
        <v>481150</v>
      </c>
      <c r="E729" s="3">
        <v>399414</v>
      </c>
      <c r="F729">
        <v>49202</v>
      </c>
      <c r="G729">
        <v>67</v>
      </c>
      <c r="H729">
        <v>58905</v>
      </c>
      <c r="I729">
        <v>18547</v>
      </c>
      <c r="J729">
        <v>20466</v>
      </c>
      <c r="K729">
        <v>2019</v>
      </c>
    </row>
    <row r="730" spans="1:11" x14ac:dyDescent="0.3">
      <c r="A730">
        <v>104</v>
      </c>
      <c r="B730" s="1" t="s">
        <v>163</v>
      </c>
      <c r="C730" s="1" t="s">
        <v>90</v>
      </c>
      <c r="D730">
        <v>479920</v>
      </c>
      <c r="E730" s="3">
        <v>627431</v>
      </c>
      <c r="F730">
        <v>72853</v>
      </c>
      <c r="G730">
        <v>68</v>
      </c>
      <c r="H730">
        <v>46681</v>
      </c>
      <c r="I730">
        <v>7572</v>
      </c>
      <c r="J730">
        <v>12067</v>
      </c>
      <c r="K730">
        <v>2019</v>
      </c>
    </row>
    <row r="731" spans="1:11" x14ac:dyDescent="0.3">
      <c r="A731">
        <v>105</v>
      </c>
      <c r="B731" s="1" t="s">
        <v>119</v>
      </c>
      <c r="C731" s="1" t="s">
        <v>90</v>
      </c>
      <c r="D731">
        <v>479630</v>
      </c>
      <c r="E731" s="3">
        <v>453780</v>
      </c>
      <c r="F731">
        <v>63459</v>
      </c>
      <c r="G731">
        <v>68</v>
      </c>
      <c r="H731">
        <v>86703</v>
      </c>
      <c r="I731">
        <v>47048</v>
      </c>
      <c r="J731">
        <v>36288</v>
      </c>
      <c r="K731">
        <v>2019</v>
      </c>
    </row>
    <row r="732" spans="1:11" x14ac:dyDescent="0.3">
      <c r="A732">
        <v>106</v>
      </c>
      <c r="B732" s="1" t="s">
        <v>133</v>
      </c>
      <c r="C732" s="1" t="s">
        <v>90</v>
      </c>
      <c r="D732">
        <v>472220</v>
      </c>
      <c r="E732" s="3">
        <v>569850</v>
      </c>
      <c r="F732">
        <v>83188</v>
      </c>
      <c r="G732">
        <v>66</v>
      </c>
      <c r="H732">
        <v>61682</v>
      </c>
      <c r="I732">
        <v>22973</v>
      </c>
      <c r="J732">
        <v>12090</v>
      </c>
      <c r="K732">
        <v>2019</v>
      </c>
    </row>
    <row r="733" spans="1:11" x14ac:dyDescent="0.3">
      <c r="A733">
        <v>107</v>
      </c>
      <c r="B733" s="1" t="s">
        <v>115</v>
      </c>
      <c r="C733" s="1" t="s">
        <v>47</v>
      </c>
      <c r="D733">
        <v>471860</v>
      </c>
      <c r="E733" s="3">
        <v>562380</v>
      </c>
      <c r="F733">
        <v>52208</v>
      </c>
      <c r="G733">
        <v>74</v>
      </c>
      <c r="H733">
        <v>60727</v>
      </c>
      <c r="I733">
        <v>31487</v>
      </c>
      <c r="J733">
        <v>5983</v>
      </c>
      <c r="K733">
        <v>2019</v>
      </c>
    </row>
    <row r="734" spans="1:11" x14ac:dyDescent="0.3">
      <c r="A734">
        <v>108</v>
      </c>
      <c r="B734" s="1" t="s">
        <v>37</v>
      </c>
      <c r="C734" s="1" t="s">
        <v>26</v>
      </c>
      <c r="D734">
        <v>470660</v>
      </c>
      <c r="E734" s="3">
        <v>569744</v>
      </c>
      <c r="F734">
        <v>87893</v>
      </c>
      <c r="G734">
        <v>73</v>
      </c>
      <c r="H734">
        <v>24332</v>
      </c>
      <c r="I734">
        <v>11348</v>
      </c>
      <c r="J734">
        <v>10445</v>
      </c>
      <c r="K734">
        <v>2019</v>
      </c>
    </row>
    <row r="735" spans="1:11" x14ac:dyDescent="0.3">
      <c r="A735">
        <v>109</v>
      </c>
      <c r="B735" s="1" t="s">
        <v>165</v>
      </c>
      <c r="C735" s="1" t="s">
        <v>39</v>
      </c>
      <c r="D735">
        <v>469980</v>
      </c>
      <c r="E735" s="3">
        <v>340725</v>
      </c>
      <c r="F735">
        <v>69131</v>
      </c>
      <c r="G735">
        <v>69</v>
      </c>
      <c r="H735">
        <v>96430</v>
      </c>
      <c r="I735">
        <v>40945</v>
      </c>
      <c r="J735">
        <v>13605</v>
      </c>
      <c r="K735">
        <v>2019</v>
      </c>
    </row>
    <row r="736" spans="1:11" x14ac:dyDescent="0.3">
      <c r="A736">
        <v>110</v>
      </c>
      <c r="B736" s="1" t="s">
        <v>128</v>
      </c>
      <c r="C736" s="1" t="s">
        <v>24</v>
      </c>
      <c r="D736">
        <v>469630</v>
      </c>
      <c r="E736" s="3">
        <v>389877</v>
      </c>
      <c r="F736">
        <v>76805</v>
      </c>
      <c r="G736">
        <v>70</v>
      </c>
      <c r="H736">
        <v>35633</v>
      </c>
      <c r="I736">
        <v>18183</v>
      </c>
      <c r="J736">
        <v>14619</v>
      </c>
      <c r="K736">
        <v>2019</v>
      </c>
    </row>
    <row r="737" spans="1:11" x14ac:dyDescent="0.3">
      <c r="A737">
        <v>111</v>
      </c>
      <c r="B737" s="1" t="s">
        <v>162</v>
      </c>
      <c r="C737" s="1" t="s">
        <v>90</v>
      </c>
      <c r="D737">
        <v>468110</v>
      </c>
      <c r="E737" s="3">
        <v>267179</v>
      </c>
      <c r="F737">
        <v>69857</v>
      </c>
      <c r="G737">
        <v>68</v>
      </c>
      <c r="H737">
        <v>46206</v>
      </c>
      <c r="I737">
        <v>27053</v>
      </c>
      <c r="J737">
        <v>15857</v>
      </c>
      <c r="K737">
        <v>2019</v>
      </c>
    </row>
    <row r="738" spans="1:11" x14ac:dyDescent="0.3">
      <c r="A738">
        <v>112</v>
      </c>
      <c r="B738" s="1" t="s">
        <v>179</v>
      </c>
      <c r="C738" s="1" t="s">
        <v>90</v>
      </c>
      <c r="D738">
        <v>466790</v>
      </c>
      <c r="E738" s="3">
        <v>0</v>
      </c>
      <c r="F738">
        <v>42977</v>
      </c>
      <c r="G738">
        <v>63</v>
      </c>
      <c r="H738">
        <v>88607</v>
      </c>
      <c r="I738">
        <v>42957</v>
      </c>
      <c r="J738">
        <v>59754</v>
      </c>
      <c r="K738">
        <v>2019</v>
      </c>
    </row>
    <row r="739" spans="1:11" x14ac:dyDescent="0.3">
      <c r="A739">
        <v>113</v>
      </c>
      <c r="B739" s="1" t="s">
        <v>181</v>
      </c>
      <c r="C739" s="1" t="s">
        <v>90</v>
      </c>
      <c r="D739">
        <v>463920</v>
      </c>
      <c r="E739" s="3">
        <v>521667</v>
      </c>
      <c r="F739">
        <v>80855</v>
      </c>
      <c r="G739">
        <v>66</v>
      </c>
      <c r="H739">
        <v>63509</v>
      </c>
      <c r="I739">
        <v>12383</v>
      </c>
      <c r="J739">
        <v>12420</v>
      </c>
      <c r="K739">
        <v>2019</v>
      </c>
    </row>
    <row r="740" spans="1:11" x14ac:dyDescent="0.3">
      <c r="A740">
        <v>114</v>
      </c>
      <c r="B740" s="1" t="s">
        <v>164</v>
      </c>
      <c r="C740" s="1" t="s">
        <v>90</v>
      </c>
      <c r="D740">
        <v>462750</v>
      </c>
      <c r="E740" s="3">
        <v>81981</v>
      </c>
      <c r="F740">
        <v>47646</v>
      </c>
      <c r="G740">
        <v>64</v>
      </c>
      <c r="H740">
        <v>50436</v>
      </c>
      <c r="I740">
        <v>33213</v>
      </c>
      <c r="J740">
        <v>22608</v>
      </c>
      <c r="K740">
        <v>2019</v>
      </c>
    </row>
    <row r="741" spans="1:11" x14ac:dyDescent="0.3">
      <c r="A741">
        <v>115</v>
      </c>
      <c r="B741" s="1" t="s">
        <v>172</v>
      </c>
      <c r="C741" s="1" t="s">
        <v>90</v>
      </c>
      <c r="D741">
        <v>458680</v>
      </c>
      <c r="E741" s="3">
        <v>196485</v>
      </c>
      <c r="F741">
        <v>65033</v>
      </c>
      <c r="G741">
        <v>65</v>
      </c>
      <c r="H741">
        <v>40323</v>
      </c>
      <c r="I741">
        <v>31338</v>
      </c>
      <c r="J741">
        <v>25001</v>
      </c>
      <c r="K741">
        <v>2019</v>
      </c>
    </row>
    <row r="742" spans="1:11" x14ac:dyDescent="0.3">
      <c r="A742">
        <v>116</v>
      </c>
      <c r="B742" s="1" t="s">
        <v>147</v>
      </c>
      <c r="C742" s="1" t="s">
        <v>62</v>
      </c>
      <c r="D742">
        <v>455940</v>
      </c>
      <c r="E742" s="3">
        <v>504787</v>
      </c>
      <c r="F742">
        <v>64973</v>
      </c>
      <c r="G742">
        <v>73</v>
      </c>
      <c r="H742">
        <v>44773</v>
      </c>
      <c r="I742">
        <v>16795</v>
      </c>
      <c r="J742">
        <v>14093</v>
      </c>
      <c r="K742">
        <v>2019</v>
      </c>
    </row>
    <row r="743" spans="1:11" x14ac:dyDescent="0.3">
      <c r="A743">
        <v>117</v>
      </c>
      <c r="B743" s="1" t="s">
        <v>130</v>
      </c>
      <c r="C743" s="1" t="s">
        <v>24</v>
      </c>
      <c r="D743">
        <v>454800</v>
      </c>
      <c r="E743" s="3">
        <v>653147</v>
      </c>
      <c r="F743">
        <v>51862</v>
      </c>
      <c r="G743">
        <v>72</v>
      </c>
      <c r="H743">
        <v>48300</v>
      </c>
      <c r="I743">
        <v>47686</v>
      </c>
      <c r="J743">
        <v>27606</v>
      </c>
      <c r="K743">
        <v>2019</v>
      </c>
    </row>
    <row r="744" spans="1:11" x14ac:dyDescent="0.3">
      <c r="A744">
        <v>118</v>
      </c>
      <c r="B744" s="1" t="s">
        <v>170</v>
      </c>
      <c r="C744" s="1" t="s">
        <v>90</v>
      </c>
      <c r="D744">
        <v>453440</v>
      </c>
      <c r="E744" s="3">
        <v>225548</v>
      </c>
      <c r="F744">
        <v>51041</v>
      </c>
      <c r="G744">
        <v>65</v>
      </c>
      <c r="H744">
        <v>52656</v>
      </c>
      <c r="I744">
        <v>36503</v>
      </c>
      <c r="J744">
        <v>19070</v>
      </c>
      <c r="K744">
        <v>2019</v>
      </c>
    </row>
    <row r="745" spans="1:11" x14ac:dyDescent="0.3">
      <c r="A745">
        <v>119</v>
      </c>
      <c r="B745" s="1" t="s">
        <v>150</v>
      </c>
      <c r="C745" s="1" t="s">
        <v>62</v>
      </c>
      <c r="D745">
        <v>451910</v>
      </c>
      <c r="E745" s="3">
        <v>526021</v>
      </c>
      <c r="F745">
        <v>40997</v>
      </c>
      <c r="G745">
        <v>72</v>
      </c>
      <c r="H745">
        <v>54832</v>
      </c>
      <c r="I745">
        <v>7627</v>
      </c>
      <c r="J745">
        <v>36187</v>
      </c>
      <c r="K745">
        <v>2019</v>
      </c>
    </row>
    <row r="746" spans="1:11" x14ac:dyDescent="0.3">
      <c r="A746">
        <v>120</v>
      </c>
      <c r="B746" s="1" t="s">
        <v>189</v>
      </c>
      <c r="C746" s="1" t="s">
        <v>186</v>
      </c>
      <c r="D746">
        <v>451630</v>
      </c>
      <c r="E746" s="3">
        <v>182777</v>
      </c>
      <c r="F746">
        <v>57836</v>
      </c>
      <c r="G746">
        <v>66</v>
      </c>
      <c r="H746">
        <v>60555</v>
      </c>
      <c r="I746">
        <v>47478</v>
      </c>
      <c r="J746">
        <v>36920</v>
      </c>
      <c r="K746">
        <v>2019</v>
      </c>
    </row>
    <row r="747" spans="1:11" x14ac:dyDescent="0.3">
      <c r="A747">
        <v>121</v>
      </c>
      <c r="B747" s="1" t="s">
        <v>145</v>
      </c>
      <c r="C747" s="1" t="s">
        <v>90</v>
      </c>
      <c r="D747">
        <v>450860</v>
      </c>
      <c r="E747" s="3">
        <v>303814</v>
      </c>
      <c r="F747">
        <v>60546</v>
      </c>
      <c r="G747">
        <v>68</v>
      </c>
      <c r="H747">
        <v>68221</v>
      </c>
      <c r="I747">
        <v>65814</v>
      </c>
      <c r="J747">
        <v>11817</v>
      </c>
      <c r="K747">
        <v>2019</v>
      </c>
    </row>
    <row r="748" spans="1:11" x14ac:dyDescent="0.3">
      <c r="A748">
        <v>122</v>
      </c>
      <c r="B748" s="1" t="s">
        <v>144</v>
      </c>
      <c r="C748" s="1" t="s">
        <v>24</v>
      </c>
      <c r="D748">
        <v>449030</v>
      </c>
      <c r="E748" s="3">
        <v>338244</v>
      </c>
      <c r="F748">
        <v>71889</v>
      </c>
      <c r="G748">
        <v>67</v>
      </c>
      <c r="H748">
        <v>10420</v>
      </c>
      <c r="I748">
        <v>18660</v>
      </c>
      <c r="J748">
        <v>19474</v>
      </c>
      <c r="K748">
        <v>2019</v>
      </c>
    </row>
    <row r="749" spans="1:11" x14ac:dyDescent="0.3">
      <c r="A749">
        <v>123</v>
      </c>
      <c r="B749" s="1" t="s">
        <v>114</v>
      </c>
      <c r="C749" s="1" t="s">
        <v>90</v>
      </c>
      <c r="D749">
        <v>446620</v>
      </c>
      <c r="E749" s="3">
        <v>120922</v>
      </c>
      <c r="F749">
        <v>60707</v>
      </c>
      <c r="G749">
        <v>65</v>
      </c>
      <c r="H749">
        <v>78218</v>
      </c>
      <c r="I749">
        <v>34878</v>
      </c>
      <c r="J749">
        <v>30432</v>
      </c>
      <c r="K749">
        <v>2019</v>
      </c>
    </row>
    <row r="750" spans="1:11" x14ac:dyDescent="0.3">
      <c r="A750">
        <v>124</v>
      </c>
      <c r="B750" s="1" t="s">
        <v>127</v>
      </c>
      <c r="C750" s="1" t="s">
        <v>24</v>
      </c>
      <c r="D750">
        <v>446060</v>
      </c>
      <c r="E750" s="3">
        <v>546875</v>
      </c>
      <c r="F750">
        <v>61585</v>
      </c>
      <c r="G750">
        <v>73</v>
      </c>
      <c r="H750">
        <v>26453</v>
      </c>
      <c r="I750">
        <v>10390</v>
      </c>
      <c r="J750">
        <v>12122</v>
      </c>
      <c r="K750">
        <v>2019</v>
      </c>
    </row>
    <row r="751" spans="1:11" x14ac:dyDescent="0.3">
      <c r="A751">
        <v>125</v>
      </c>
      <c r="B751" s="1" t="s">
        <v>129</v>
      </c>
      <c r="C751" s="1" t="s">
        <v>99</v>
      </c>
      <c r="D751">
        <v>445580</v>
      </c>
      <c r="E751" s="3">
        <v>333871</v>
      </c>
      <c r="F751">
        <v>57170</v>
      </c>
      <c r="G751">
        <v>71</v>
      </c>
      <c r="H751">
        <v>83548</v>
      </c>
      <c r="I751">
        <v>29298</v>
      </c>
      <c r="J751">
        <v>31678</v>
      </c>
      <c r="K751">
        <v>2019</v>
      </c>
    </row>
    <row r="752" spans="1:11" x14ac:dyDescent="0.3">
      <c r="A752">
        <v>126</v>
      </c>
      <c r="B752" s="1" t="s">
        <v>132</v>
      </c>
      <c r="C752" s="1" t="s">
        <v>24</v>
      </c>
      <c r="D752">
        <v>443720</v>
      </c>
      <c r="E752" s="3">
        <v>619404</v>
      </c>
      <c r="F752">
        <v>60346</v>
      </c>
      <c r="G752">
        <v>68</v>
      </c>
      <c r="H752">
        <v>38121</v>
      </c>
      <c r="I752">
        <v>26171</v>
      </c>
      <c r="J752">
        <v>19635</v>
      </c>
      <c r="K752">
        <v>2019</v>
      </c>
    </row>
    <row r="753" spans="1:11" x14ac:dyDescent="0.3">
      <c r="A753">
        <v>127</v>
      </c>
      <c r="B753" s="1" t="s">
        <v>140</v>
      </c>
      <c r="C753" s="1" t="s">
        <v>90</v>
      </c>
      <c r="D753">
        <v>441810</v>
      </c>
      <c r="E753" s="3">
        <v>55863</v>
      </c>
      <c r="F753">
        <v>69278</v>
      </c>
      <c r="G753">
        <v>64</v>
      </c>
      <c r="H753">
        <v>42539</v>
      </c>
      <c r="I753">
        <v>37546</v>
      </c>
      <c r="J753">
        <v>11762</v>
      </c>
      <c r="K753">
        <v>2019</v>
      </c>
    </row>
    <row r="754" spans="1:11" x14ac:dyDescent="0.3">
      <c r="A754">
        <v>128</v>
      </c>
      <c r="B754" s="1" t="s">
        <v>158</v>
      </c>
      <c r="C754" s="1" t="s">
        <v>90</v>
      </c>
      <c r="D754">
        <v>439040</v>
      </c>
      <c r="E754" s="3">
        <v>228528</v>
      </c>
      <c r="F754">
        <v>68039</v>
      </c>
      <c r="G754">
        <v>63</v>
      </c>
      <c r="H754">
        <v>51852</v>
      </c>
      <c r="I754">
        <v>27052</v>
      </c>
      <c r="J754">
        <v>11474</v>
      </c>
      <c r="K754">
        <v>2019</v>
      </c>
    </row>
    <row r="755" spans="1:11" x14ac:dyDescent="0.3">
      <c r="A755">
        <v>129</v>
      </c>
      <c r="B755" s="1" t="s">
        <v>143</v>
      </c>
      <c r="C755" s="1" t="s">
        <v>90</v>
      </c>
      <c r="D755">
        <v>437420</v>
      </c>
      <c r="E755" s="3">
        <v>159292</v>
      </c>
      <c r="F755">
        <v>51807</v>
      </c>
      <c r="G755">
        <v>62</v>
      </c>
      <c r="H755">
        <v>48972</v>
      </c>
      <c r="I755">
        <v>44580</v>
      </c>
      <c r="J755">
        <v>9945</v>
      </c>
      <c r="K755">
        <v>2019</v>
      </c>
    </row>
    <row r="756" spans="1:11" x14ac:dyDescent="0.3">
      <c r="A756">
        <v>130</v>
      </c>
      <c r="B756" s="1" t="s">
        <v>152</v>
      </c>
      <c r="C756" s="1" t="s">
        <v>99</v>
      </c>
      <c r="D756">
        <v>436590</v>
      </c>
      <c r="E756" s="3">
        <v>563751</v>
      </c>
      <c r="F756">
        <v>77902</v>
      </c>
      <c r="G756">
        <v>73</v>
      </c>
      <c r="H756">
        <v>74517</v>
      </c>
      <c r="I756">
        <v>43111</v>
      </c>
      <c r="J756">
        <v>10278</v>
      </c>
      <c r="K756">
        <v>2019</v>
      </c>
    </row>
    <row r="757" spans="1:11" x14ac:dyDescent="0.3">
      <c r="A757">
        <v>131</v>
      </c>
      <c r="B757" s="1" t="s">
        <v>149</v>
      </c>
      <c r="C757" s="1" t="s">
        <v>39</v>
      </c>
      <c r="D757">
        <v>436040</v>
      </c>
      <c r="E757" s="3">
        <v>421509</v>
      </c>
      <c r="F757">
        <v>72710</v>
      </c>
      <c r="G757">
        <v>68</v>
      </c>
      <c r="H757">
        <v>83234</v>
      </c>
      <c r="I757">
        <v>100000</v>
      </c>
      <c r="J757">
        <v>38040</v>
      </c>
      <c r="K757">
        <v>2019</v>
      </c>
    </row>
    <row r="758" spans="1:11" x14ac:dyDescent="0.3">
      <c r="A758">
        <v>132</v>
      </c>
      <c r="B758" s="1" t="s">
        <v>169</v>
      </c>
      <c r="C758" s="1" t="s">
        <v>90</v>
      </c>
      <c r="D758">
        <v>434950</v>
      </c>
      <c r="E758" s="3">
        <v>207803</v>
      </c>
      <c r="F758">
        <v>47205</v>
      </c>
      <c r="G758">
        <v>61</v>
      </c>
      <c r="H758">
        <v>27523</v>
      </c>
      <c r="I758">
        <v>35038</v>
      </c>
      <c r="J758">
        <v>17260</v>
      </c>
      <c r="K758">
        <v>2019</v>
      </c>
    </row>
    <row r="759" spans="1:11" x14ac:dyDescent="0.3">
      <c r="A759">
        <v>133</v>
      </c>
      <c r="B759" s="1" t="s">
        <v>131</v>
      </c>
      <c r="C759" s="1" t="s">
        <v>62</v>
      </c>
      <c r="D759">
        <v>433220</v>
      </c>
      <c r="E759" s="3">
        <v>487103</v>
      </c>
      <c r="F759">
        <v>85639</v>
      </c>
      <c r="G759">
        <v>71</v>
      </c>
      <c r="H759">
        <v>28197</v>
      </c>
      <c r="I759">
        <v>33024</v>
      </c>
      <c r="J759">
        <v>2155</v>
      </c>
      <c r="K759">
        <v>2019</v>
      </c>
    </row>
    <row r="760" spans="1:11" x14ac:dyDescent="0.3">
      <c r="A760">
        <v>134</v>
      </c>
      <c r="B760" s="1" t="s">
        <v>142</v>
      </c>
      <c r="C760" s="1" t="s">
        <v>90</v>
      </c>
      <c r="D760">
        <v>428580</v>
      </c>
      <c r="E760" s="3">
        <v>199761</v>
      </c>
      <c r="F760">
        <v>63626</v>
      </c>
      <c r="G760">
        <v>67</v>
      </c>
      <c r="H760">
        <v>54516</v>
      </c>
      <c r="I760">
        <v>36875</v>
      </c>
      <c r="J760">
        <v>22145</v>
      </c>
      <c r="K760">
        <v>2019</v>
      </c>
    </row>
    <row r="761" spans="1:11" x14ac:dyDescent="0.3">
      <c r="A761">
        <v>135</v>
      </c>
      <c r="B761" s="1" t="s">
        <v>121</v>
      </c>
      <c r="C761" s="1" t="s">
        <v>90</v>
      </c>
      <c r="D761">
        <v>421160</v>
      </c>
      <c r="E761" s="3">
        <v>481445</v>
      </c>
      <c r="F761">
        <v>70781</v>
      </c>
      <c r="G761">
        <v>58</v>
      </c>
      <c r="H761">
        <v>49639</v>
      </c>
      <c r="I761">
        <v>13074</v>
      </c>
      <c r="J761">
        <v>29752</v>
      </c>
      <c r="K761">
        <v>2019</v>
      </c>
    </row>
    <row r="762" spans="1:11" x14ac:dyDescent="0.3">
      <c r="A762">
        <v>136</v>
      </c>
      <c r="B762" s="1" t="s">
        <v>161</v>
      </c>
      <c r="C762" s="1" t="s">
        <v>90</v>
      </c>
      <c r="D762">
        <v>418940</v>
      </c>
      <c r="E762" s="3">
        <v>197369</v>
      </c>
      <c r="F762">
        <v>65864</v>
      </c>
      <c r="G762">
        <v>66</v>
      </c>
      <c r="H762">
        <v>56366</v>
      </c>
      <c r="I762">
        <v>44562</v>
      </c>
      <c r="J762">
        <v>13222</v>
      </c>
      <c r="K762">
        <v>2019</v>
      </c>
    </row>
    <row r="763" spans="1:11" x14ac:dyDescent="0.3">
      <c r="A763">
        <v>137</v>
      </c>
      <c r="B763" s="1" t="s">
        <v>155</v>
      </c>
      <c r="C763" s="1" t="s">
        <v>24</v>
      </c>
      <c r="D763">
        <v>416550</v>
      </c>
      <c r="E763" s="3">
        <v>541849</v>
      </c>
      <c r="F763">
        <v>63992</v>
      </c>
      <c r="G763">
        <v>70</v>
      </c>
      <c r="H763">
        <v>38183</v>
      </c>
      <c r="I763">
        <v>13376</v>
      </c>
      <c r="J763">
        <v>14763</v>
      </c>
      <c r="K763">
        <v>2019</v>
      </c>
    </row>
    <row r="764" spans="1:11" x14ac:dyDescent="0.3">
      <c r="A764">
        <v>138</v>
      </c>
      <c r="B764" s="1" t="s">
        <v>105</v>
      </c>
      <c r="C764" s="1" t="s">
        <v>90</v>
      </c>
      <c r="D764">
        <v>410660</v>
      </c>
      <c r="E764" s="3">
        <v>342973</v>
      </c>
      <c r="F764">
        <v>65167</v>
      </c>
      <c r="G764">
        <v>65</v>
      </c>
      <c r="H764">
        <v>68203</v>
      </c>
      <c r="I764">
        <v>43673</v>
      </c>
      <c r="J764">
        <v>19120</v>
      </c>
      <c r="K764">
        <v>2019</v>
      </c>
    </row>
    <row r="765" spans="1:11" x14ac:dyDescent="0.3">
      <c r="A765">
        <v>139</v>
      </c>
      <c r="B765" s="1" t="s">
        <v>178</v>
      </c>
      <c r="C765" s="1" t="s">
        <v>90</v>
      </c>
      <c r="D765">
        <v>408490</v>
      </c>
      <c r="E765" s="3">
        <v>163448</v>
      </c>
      <c r="F765">
        <v>35251</v>
      </c>
      <c r="G765">
        <v>65</v>
      </c>
      <c r="H765">
        <v>46411</v>
      </c>
      <c r="I765">
        <v>31216</v>
      </c>
      <c r="J765">
        <v>18844</v>
      </c>
      <c r="K765">
        <v>2019</v>
      </c>
    </row>
    <row r="766" spans="1:11" x14ac:dyDescent="0.3">
      <c r="A766">
        <v>140</v>
      </c>
      <c r="B766" s="1" t="s">
        <v>137</v>
      </c>
      <c r="C766" s="1" t="s">
        <v>99</v>
      </c>
      <c r="D766">
        <v>401520</v>
      </c>
      <c r="E766" s="3">
        <v>448260</v>
      </c>
      <c r="F766">
        <v>47112</v>
      </c>
      <c r="G766">
        <v>68</v>
      </c>
      <c r="H766">
        <v>78838</v>
      </c>
      <c r="I766">
        <v>35259</v>
      </c>
      <c r="J766">
        <v>18714</v>
      </c>
      <c r="K766">
        <v>2019</v>
      </c>
    </row>
    <row r="767" spans="1:11" x14ac:dyDescent="0.3">
      <c r="A767">
        <v>141</v>
      </c>
      <c r="B767" s="1" t="s">
        <v>136</v>
      </c>
      <c r="C767" s="1" t="s">
        <v>90</v>
      </c>
      <c r="D767">
        <v>397530</v>
      </c>
      <c r="E767" s="3">
        <v>43301</v>
      </c>
      <c r="F767">
        <v>56780</v>
      </c>
      <c r="G767">
        <v>66</v>
      </c>
      <c r="H767">
        <v>58567</v>
      </c>
      <c r="I767">
        <v>41210</v>
      </c>
      <c r="J767">
        <v>7262</v>
      </c>
      <c r="K767">
        <v>2019</v>
      </c>
    </row>
    <row r="768" spans="1:11" x14ac:dyDescent="0.3">
      <c r="A768">
        <v>142</v>
      </c>
      <c r="B768" s="1" t="s">
        <v>160</v>
      </c>
      <c r="C768" s="1" t="s">
        <v>90</v>
      </c>
      <c r="D768">
        <v>397280</v>
      </c>
      <c r="E768" s="3">
        <v>162986</v>
      </c>
      <c r="F768">
        <v>46632</v>
      </c>
      <c r="G768">
        <v>67</v>
      </c>
      <c r="H768">
        <v>22438</v>
      </c>
      <c r="I768">
        <v>48586</v>
      </c>
      <c r="J768">
        <v>17252</v>
      </c>
      <c r="K768">
        <v>2019</v>
      </c>
    </row>
    <row r="769" spans="1:11" x14ac:dyDescent="0.3">
      <c r="A769">
        <v>143</v>
      </c>
      <c r="B769" s="1" t="s">
        <v>167</v>
      </c>
      <c r="C769" s="1" t="s">
        <v>90</v>
      </c>
      <c r="D769">
        <v>393270</v>
      </c>
      <c r="E769" s="3">
        <v>162744</v>
      </c>
      <c r="F769">
        <v>56423</v>
      </c>
      <c r="G769">
        <v>68</v>
      </c>
      <c r="H769">
        <v>23413</v>
      </c>
      <c r="I769">
        <v>29867</v>
      </c>
      <c r="J769">
        <v>8949</v>
      </c>
      <c r="K769">
        <v>2019</v>
      </c>
    </row>
    <row r="770" spans="1:11" x14ac:dyDescent="0.3">
      <c r="A770">
        <v>144</v>
      </c>
      <c r="B770" s="1" t="s">
        <v>117</v>
      </c>
      <c r="C770" s="1" t="s">
        <v>90</v>
      </c>
      <c r="D770">
        <v>380190</v>
      </c>
      <c r="E770" s="3">
        <v>290331</v>
      </c>
      <c r="F770">
        <v>71999</v>
      </c>
      <c r="G770">
        <v>61</v>
      </c>
      <c r="H770">
        <v>56815</v>
      </c>
      <c r="I770">
        <v>18977</v>
      </c>
      <c r="J770">
        <v>20603</v>
      </c>
      <c r="K770">
        <v>2019</v>
      </c>
    </row>
    <row r="771" spans="1:11" x14ac:dyDescent="0.3">
      <c r="A771">
        <v>145</v>
      </c>
      <c r="B771" s="1" t="s">
        <v>177</v>
      </c>
      <c r="C771" s="1" t="s">
        <v>90</v>
      </c>
      <c r="D771">
        <v>377530</v>
      </c>
      <c r="E771" s="3">
        <v>27209</v>
      </c>
      <c r="F771">
        <v>27559</v>
      </c>
      <c r="G771">
        <v>65</v>
      </c>
      <c r="H771">
        <v>34837</v>
      </c>
      <c r="I771">
        <v>31112</v>
      </c>
      <c r="J771">
        <v>39844</v>
      </c>
      <c r="K771">
        <v>2019</v>
      </c>
    </row>
    <row r="772" spans="1:11" x14ac:dyDescent="0.3">
      <c r="A772">
        <v>146</v>
      </c>
      <c r="B772" s="1" t="s">
        <v>135</v>
      </c>
      <c r="C772" s="1" t="s">
        <v>90</v>
      </c>
      <c r="D772">
        <v>366320</v>
      </c>
      <c r="E772" s="3">
        <v>217200</v>
      </c>
      <c r="F772">
        <v>68611</v>
      </c>
      <c r="G772">
        <v>66</v>
      </c>
      <c r="H772">
        <v>57163</v>
      </c>
      <c r="I772">
        <v>26697</v>
      </c>
      <c r="J772">
        <v>19725</v>
      </c>
      <c r="K772">
        <v>2019</v>
      </c>
    </row>
    <row r="773" spans="1:11" x14ac:dyDescent="0.3">
      <c r="A773">
        <v>147</v>
      </c>
      <c r="B773" s="1" t="s">
        <v>139</v>
      </c>
      <c r="C773" s="1" t="s">
        <v>26</v>
      </c>
      <c r="D773">
        <v>359690</v>
      </c>
      <c r="E773" s="3">
        <v>191754</v>
      </c>
      <c r="F773">
        <v>42393</v>
      </c>
      <c r="G773">
        <v>66</v>
      </c>
      <c r="H773">
        <v>4096</v>
      </c>
      <c r="I773">
        <v>74139</v>
      </c>
      <c r="J773">
        <v>24352</v>
      </c>
      <c r="K773">
        <v>2019</v>
      </c>
    </row>
    <row r="774" spans="1:11" x14ac:dyDescent="0.3">
      <c r="A774">
        <v>148</v>
      </c>
      <c r="B774" s="1" t="s">
        <v>148</v>
      </c>
      <c r="C774" s="1" t="s">
        <v>90</v>
      </c>
      <c r="D774">
        <v>348840</v>
      </c>
      <c r="E774" s="3">
        <v>618104</v>
      </c>
      <c r="F774">
        <v>70540</v>
      </c>
      <c r="G774">
        <v>68</v>
      </c>
      <c r="H774">
        <v>72150</v>
      </c>
      <c r="I774">
        <v>4417</v>
      </c>
      <c r="J774">
        <v>22099</v>
      </c>
      <c r="K774">
        <v>2019</v>
      </c>
    </row>
    <row r="775" spans="1:11" x14ac:dyDescent="0.3">
      <c r="A775">
        <v>149</v>
      </c>
      <c r="B775" s="1" t="s">
        <v>176</v>
      </c>
      <c r="C775" s="1" t="s">
        <v>24</v>
      </c>
      <c r="D775">
        <v>346190</v>
      </c>
      <c r="E775" s="3">
        <v>367412</v>
      </c>
      <c r="F775">
        <v>23261</v>
      </c>
      <c r="G775">
        <v>66</v>
      </c>
      <c r="H775">
        <v>2031</v>
      </c>
      <c r="I775">
        <v>58462</v>
      </c>
      <c r="J775">
        <v>31105</v>
      </c>
      <c r="K775">
        <v>2019</v>
      </c>
    </row>
    <row r="776" spans="1:11" x14ac:dyDescent="0.3">
      <c r="A776">
        <v>150</v>
      </c>
      <c r="B776" s="1" t="s">
        <v>151</v>
      </c>
      <c r="C776" s="1" t="s">
        <v>90</v>
      </c>
      <c r="D776">
        <v>340980</v>
      </c>
      <c r="E776" s="3">
        <v>113398</v>
      </c>
      <c r="F776">
        <v>34499</v>
      </c>
      <c r="G776">
        <v>67</v>
      </c>
      <c r="H776">
        <v>70246</v>
      </c>
      <c r="I776">
        <v>38545</v>
      </c>
      <c r="J776">
        <v>19701</v>
      </c>
      <c r="K776">
        <v>2019</v>
      </c>
    </row>
    <row r="777" spans="1:11" x14ac:dyDescent="0.3">
      <c r="A777">
        <v>151</v>
      </c>
      <c r="B777" s="1" t="s">
        <v>156</v>
      </c>
      <c r="C777" s="1" t="s">
        <v>24</v>
      </c>
      <c r="D777">
        <v>337980</v>
      </c>
      <c r="E777" s="3">
        <v>170365</v>
      </c>
      <c r="F777">
        <v>71608</v>
      </c>
      <c r="G777">
        <v>66</v>
      </c>
      <c r="H777">
        <v>22665</v>
      </c>
      <c r="I777">
        <v>19169</v>
      </c>
      <c r="J777">
        <v>17086</v>
      </c>
      <c r="K777">
        <v>2019</v>
      </c>
    </row>
    <row r="778" spans="1:11" x14ac:dyDescent="0.3">
      <c r="A778">
        <v>152</v>
      </c>
      <c r="B778" s="1" t="s">
        <v>174</v>
      </c>
      <c r="C778" s="1" t="s">
        <v>90</v>
      </c>
      <c r="D778">
        <v>333380</v>
      </c>
      <c r="E778" s="3">
        <v>213461</v>
      </c>
      <c r="F778">
        <v>43793</v>
      </c>
      <c r="G778">
        <v>69</v>
      </c>
      <c r="H778">
        <v>87853</v>
      </c>
      <c r="I778">
        <v>38290</v>
      </c>
      <c r="J778">
        <v>90753</v>
      </c>
      <c r="K778">
        <v>2019</v>
      </c>
    </row>
    <row r="779" spans="1:11" x14ac:dyDescent="0.3">
      <c r="A779">
        <v>153</v>
      </c>
      <c r="B779" s="1" t="s">
        <v>166</v>
      </c>
      <c r="C779" s="1" t="s">
        <v>90</v>
      </c>
      <c r="D779">
        <v>323070</v>
      </c>
      <c r="E779" s="3">
        <v>282558</v>
      </c>
      <c r="F779">
        <v>54498</v>
      </c>
      <c r="G779">
        <v>67</v>
      </c>
      <c r="H779">
        <v>66084</v>
      </c>
      <c r="I779">
        <v>48830</v>
      </c>
      <c r="J779">
        <v>32510</v>
      </c>
      <c r="K779">
        <v>2019</v>
      </c>
    </row>
    <row r="780" spans="1:11" x14ac:dyDescent="0.3">
      <c r="A780">
        <v>154</v>
      </c>
      <c r="B780" s="1" t="s">
        <v>173</v>
      </c>
      <c r="C780" s="1" t="s">
        <v>99</v>
      </c>
      <c r="D780">
        <v>320330</v>
      </c>
      <c r="E780" s="3">
        <v>207608</v>
      </c>
      <c r="F780">
        <v>31842</v>
      </c>
      <c r="G780">
        <v>64</v>
      </c>
      <c r="H780">
        <v>0</v>
      </c>
      <c r="I780">
        <v>27951</v>
      </c>
      <c r="J780">
        <v>5495</v>
      </c>
      <c r="K780">
        <v>2019</v>
      </c>
    </row>
    <row r="781" spans="1:11" x14ac:dyDescent="0.3">
      <c r="A781">
        <v>155</v>
      </c>
      <c r="B781" s="1" t="s">
        <v>168</v>
      </c>
      <c r="C781" s="1" t="s">
        <v>90</v>
      </c>
      <c r="D781">
        <v>308300</v>
      </c>
      <c r="E781" s="3">
        <v>15681</v>
      </c>
      <c r="F781">
        <v>0</v>
      </c>
      <c r="G781">
        <v>59</v>
      </c>
      <c r="H781">
        <v>35688</v>
      </c>
      <c r="I781">
        <v>41541</v>
      </c>
      <c r="J781">
        <v>7791</v>
      </c>
      <c r="K781">
        <v>2019</v>
      </c>
    </row>
    <row r="782" spans="1:11" x14ac:dyDescent="0.3">
      <c r="A782">
        <v>156</v>
      </c>
      <c r="B782" s="1" t="s">
        <v>180</v>
      </c>
      <c r="C782" s="1" t="s">
        <v>90</v>
      </c>
      <c r="D782">
        <v>285260</v>
      </c>
      <c r="E782" s="3">
        <v>181607</v>
      </c>
      <c r="F782">
        <v>35410</v>
      </c>
      <c r="G782">
        <v>63</v>
      </c>
      <c r="H782">
        <v>1618</v>
      </c>
      <c r="I782">
        <v>35715</v>
      </c>
      <c r="J782">
        <v>19998</v>
      </c>
      <c r="K782">
        <v>2019</v>
      </c>
    </row>
    <row r="783" spans="1:11" x14ac:dyDescent="0.3">
      <c r="A783">
        <v>1</v>
      </c>
      <c r="B783" s="1" t="s">
        <v>18</v>
      </c>
      <c r="C783" s="1" t="s">
        <v>12</v>
      </c>
      <c r="D783">
        <v>780870</v>
      </c>
      <c r="E783" s="3">
        <v>836344</v>
      </c>
      <c r="F783">
        <v>96896</v>
      </c>
      <c r="G783">
        <v>72</v>
      </c>
      <c r="H783">
        <v>95535</v>
      </c>
      <c r="I783">
        <v>28022</v>
      </c>
      <c r="J783">
        <v>10373</v>
      </c>
      <c r="K783">
        <v>2020</v>
      </c>
    </row>
    <row r="784" spans="1:11" x14ac:dyDescent="0.3">
      <c r="A784">
        <v>2</v>
      </c>
      <c r="B784" s="1" t="s">
        <v>14</v>
      </c>
      <c r="C784" s="1" t="s">
        <v>12</v>
      </c>
      <c r="D784">
        <v>764560</v>
      </c>
      <c r="E784" s="3">
        <v>863519</v>
      </c>
      <c r="F784">
        <v>97149</v>
      </c>
      <c r="G784">
        <v>72</v>
      </c>
      <c r="H784">
        <v>95928</v>
      </c>
      <c r="I784">
        <v>42609</v>
      </c>
      <c r="J784">
        <v>7109</v>
      </c>
      <c r="K784">
        <v>2020</v>
      </c>
    </row>
    <row r="785" spans="1:11" x14ac:dyDescent="0.3">
      <c r="A785">
        <v>3</v>
      </c>
      <c r="B785" s="1" t="s">
        <v>11</v>
      </c>
      <c r="C785" s="1" t="s">
        <v>12</v>
      </c>
      <c r="D785">
        <v>755990</v>
      </c>
      <c r="E785" s="3">
        <v>905054</v>
      </c>
      <c r="F785">
        <v>95143</v>
      </c>
      <c r="G785">
        <v>74</v>
      </c>
      <c r="H785">
        <v>90723</v>
      </c>
      <c r="I785">
        <v>47218</v>
      </c>
      <c r="J785">
        <v>23486</v>
      </c>
      <c r="K785">
        <v>2020</v>
      </c>
    </row>
    <row r="786" spans="1:11" x14ac:dyDescent="0.3">
      <c r="A786">
        <v>4</v>
      </c>
      <c r="B786" s="1" t="s">
        <v>13</v>
      </c>
      <c r="C786" s="1" t="s">
        <v>12</v>
      </c>
      <c r="D786">
        <v>750450</v>
      </c>
      <c r="E786" s="3">
        <v>863228</v>
      </c>
      <c r="F786">
        <v>100000</v>
      </c>
      <c r="G786">
        <v>73</v>
      </c>
      <c r="H786">
        <v>95487</v>
      </c>
      <c r="I786">
        <v>63587</v>
      </c>
      <c r="J786">
        <v>72890</v>
      </c>
      <c r="K786">
        <v>2020</v>
      </c>
    </row>
    <row r="787" spans="1:11" x14ac:dyDescent="0.3">
      <c r="A787">
        <v>5</v>
      </c>
      <c r="B787" s="1" t="s">
        <v>15</v>
      </c>
      <c r="C787" s="1" t="s">
        <v>12</v>
      </c>
      <c r="D787">
        <v>748800</v>
      </c>
      <c r="E787" s="3">
        <v>926810</v>
      </c>
      <c r="F787">
        <v>96614</v>
      </c>
      <c r="G787">
        <v>73</v>
      </c>
      <c r="H787">
        <v>96672</v>
      </c>
      <c r="I787">
        <v>50540</v>
      </c>
      <c r="J787">
        <v>18580</v>
      </c>
      <c r="K787">
        <v>2020</v>
      </c>
    </row>
    <row r="788" spans="1:11" x14ac:dyDescent="0.3">
      <c r="A788">
        <v>6</v>
      </c>
      <c r="B788" s="1" t="s">
        <v>19</v>
      </c>
      <c r="C788" s="1" t="s">
        <v>12</v>
      </c>
      <c r="D788">
        <v>744890</v>
      </c>
      <c r="E788" s="3">
        <v>871326</v>
      </c>
      <c r="F788">
        <v>94577</v>
      </c>
      <c r="G788">
        <v>72</v>
      </c>
      <c r="H788">
        <v>88512</v>
      </c>
      <c r="I788">
        <v>59022</v>
      </c>
      <c r="J788">
        <v>30871</v>
      </c>
      <c r="K788">
        <v>2020</v>
      </c>
    </row>
    <row r="789" spans="1:11" x14ac:dyDescent="0.3">
      <c r="A789">
        <v>7</v>
      </c>
      <c r="B789" s="1" t="s">
        <v>20</v>
      </c>
      <c r="C789" s="1" t="s">
        <v>12</v>
      </c>
      <c r="D789">
        <v>735350</v>
      </c>
      <c r="E789" s="3">
        <v>860451</v>
      </c>
      <c r="F789">
        <v>92619</v>
      </c>
      <c r="G789">
        <v>73</v>
      </c>
      <c r="H789">
        <v>93801</v>
      </c>
      <c r="I789">
        <v>47880</v>
      </c>
      <c r="J789">
        <v>17086</v>
      </c>
      <c r="K789">
        <v>2020</v>
      </c>
    </row>
    <row r="790" spans="1:11" x14ac:dyDescent="0.3">
      <c r="A790">
        <v>8</v>
      </c>
      <c r="B790" s="1" t="s">
        <v>21</v>
      </c>
      <c r="C790" s="1" t="s">
        <v>17</v>
      </c>
      <c r="D790">
        <v>729960</v>
      </c>
      <c r="E790" s="3">
        <v>808445</v>
      </c>
      <c r="F790">
        <v>96100</v>
      </c>
      <c r="G790">
        <v>73</v>
      </c>
      <c r="H790">
        <v>93295</v>
      </c>
      <c r="I790">
        <v>57164</v>
      </c>
      <c r="J790">
        <v>13484</v>
      </c>
      <c r="K790">
        <v>2020</v>
      </c>
    </row>
    <row r="791" spans="1:11" x14ac:dyDescent="0.3">
      <c r="A791">
        <v>9</v>
      </c>
      <c r="B791" s="1" t="s">
        <v>27</v>
      </c>
      <c r="C791" s="1" t="s">
        <v>12</v>
      </c>
      <c r="D791">
        <v>729420</v>
      </c>
      <c r="E791" s="3">
        <v>857230</v>
      </c>
      <c r="F791">
        <v>92884</v>
      </c>
      <c r="G791">
        <v>73</v>
      </c>
      <c r="H791">
        <v>87032</v>
      </c>
      <c r="I791">
        <v>44841</v>
      </c>
      <c r="J791">
        <v>47248</v>
      </c>
      <c r="K791">
        <v>2020</v>
      </c>
    </row>
    <row r="792" spans="1:11" x14ac:dyDescent="0.3">
      <c r="A792">
        <v>10</v>
      </c>
      <c r="B792" s="1" t="s">
        <v>31</v>
      </c>
      <c r="C792" s="1" t="s">
        <v>12</v>
      </c>
      <c r="D792">
        <v>723750</v>
      </c>
      <c r="E792" s="3">
        <v>1000000</v>
      </c>
      <c r="F792">
        <v>89659</v>
      </c>
      <c r="G792">
        <v>73</v>
      </c>
      <c r="H792">
        <v>88009</v>
      </c>
      <c r="I792">
        <v>34389</v>
      </c>
      <c r="J792">
        <v>31158</v>
      </c>
      <c r="K792">
        <v>2020</v>
      </c>
    </row>
    <row r="793" spans="1:11" x14ac:dyDescent="0.3">
      <c r="A793">
        <v>11</v>
      </c>
      <c r="B793" s="1" t="s">
        <v>16</v>
      </c>
      <c r="C793" s="1" t="s">
        <v>17</v>
      </c>
      <c r="D793">
        <v>723210</v>
      </c>
      <c r="E793" s="3">
        <v>847054</v>
      </c>
      <c r="F793">
        <v>92751</v>
      </c>
      <c r="G793">
        <v>74</v>
      </c>
      <c r="H793">
        <v>92897</v>
      </c>
      <c r="I793">
        <v>49407</v>
      </c>
      <c r="J793">
        <v>34035</v>
      </c>
      <c r="K793">
        <v>2020</v>
      </c>
    </row>
    <row r="794" spans="1:11" x14ac:dyDescent="0.3">
      <c r="A794">
        <v>12</v>
      </c>
      <c r="B794" s="1" t="s">
        <v>22</v>
      </c>
      <c r="C794" s="1" t="s">
        <v>17</v>
      </c>
      <c r="D794">
        <v>722280</v>
      </c>
      <c r="E794" s="3">
        <v>852747</v>
      </c>
      <c r="F794">
        <v>95450</v>
      </c>
      <c r="G794">
        <v>74</v>
      </c>
      <c r="H794">
        <v>89702</v>
      </c>
      <c r="I794">
        <v>57032</v>
      </c>
      <c r="J794">
        <v>36980</v>
      </c>
      <c r="K794">
        <v>2020</v>
      </c>
    </row>
    <row r="795" spans="1:11" x14ac:dyDescent="0.3">
      <c r="A795">
        <v>13</v>
      </c>
      <c r="B795" s="1" t="s">
        <v>35</v>
      </c>
      <c r="C795" s="1" t="s">
        <v>12</v>
      </c>
      <c r="D795">
        <v>716450</v>
      </c>
      <c r="E795" s="3">
        <v>828451</v>
      </c>
      <c r="F795">
        <v>94202</v>
      </c>
      <c r="G795">
        <v>72</v>
      </c>
      <c r="H795">
        <v>75752</v>
      </c>
      <c r="I795">
        <v>65536</v>
      </c>
      <c r="J795">
        <v>39493</v>
      </c>
      <c r="K795">
        <v>2020</v>
      </c>
    </row>
    <row r="796" spans="1:11" x14ac:dyDescent="0.3">
      <c r="A796">
        <v>14</v>
      </c>
      <c r="B796" s="1" t="s">
        <v>23</v>
      </c>
      <c r="C796" s="1" t="s">
        <v>24</v>
      </c>
      <c r="D796">
        <v>712860</v>
      </c>
      <c r="E796" s="3">
        <v>791620</v>
      </c>
      <c r="F796">
        <v>90675</v>
      </c>
      <c r="G796">
        <v>73</v>
      </c>
      <c r="H796">
        <v>60683</v>
      </c>
      <c r="I796">
        <v>46833</v>
      </c>
      <c r="J796">
        <v>81263</v>
      </c>
      <c r="K796">
        <v>2020</v>
      </c>
    </row>
    <row r="797" spans="1:11" x14ac:dyDescent="0.3">
      <c r="A797">
        <v>15</v>
      </c>
      <c r="B797" s="1" t="s">
        <v>25</v>
      </c>
      <c r="C797" s="1" t="s">
        <v>26</v>
      </c>
      <c r="D797">
        <v>712140</v>
      </c>
      <c r="E797" s="3">
        <v>638461</v>
      </c>
      <c r="F797">
        <v>88840</v>
      </c>
      <c r="G797">
        <v>71</v>
      </c>
      <c r="H797">
        <v>93040</v>
      </c>
      <c r="I797">
        <v>23037</v>
      </c>
      <c r="J797">
        <v>81926</v>
      </c>
      <c r="K797">
        <v>2020</v>
      </c>
    </row>
    <row r="798" spans="1:11" x14ac:dyDescent="0.3">
      <c r="A798">
        <v>16</v>
      </c>
      <c r="B798" s="1" t="s">
        <v>32</v>
      </c>
      <c r="C798" s="1" t="s">
        <v>12</v>
      </c>
      <c r="D798">
        <v>709370</v>
      </c>
      <c r="E798" s="3">
        <v>941569</v>
      </c>
      <c r="F798">
        <v>95026</v>
      </c>
      <c r="G798">
        <v>72</v>
      </c>
      <c r="H798">
        <v>84784</v>
      </c>
      <c r="I798">
        <v>51846</v>
      </c>
      <c r="J798">
        <v>29959</v>
      </c>
      <c r="K798">
        <v>2020</v>
      </c>
    </row>
    <row r="799" spans="1:11" x14ac:dyDescent="0.3">
      <c r="A799">
        <v>17</v>
      </c>
      <c r="B799" s="1" t="s">
        <v>41</v>
      </c>
      <c r="C799" s="1" t="s">
        <v>12</v>
      </c>
      <c r="D799">
        <v>707580</v>
      </c>
      <c r="E799" s="3">
        <v>855212</v>
      </c>
      <c r="F799">
        <v>88432</v>
      </c>
      <c r="G799">
        <v>72</v>
      </c>
      <c r="H799">
        <v>81393</v>
      </c>
      <c r="I799">
        <v>44232</v>
      </c>
      <c r="J799">
        <v>41976</v>
      </c>
      <c r="K799">
        <v>2020</v>
      </c>
    </row>
    <row r="800" spans="1:11" x14ac:dyDescent="0.3">
      <c r="A800">
        <v>18</v>
      </c>
      <c r="B800" s="1" t="s">
        <v>29</v>
      </c>
      <c r="C800" s="1" t="s">
        <v>17</v>
      </c>
      <c r="D800">
        <v>693960</v>
      </c>
      <c r="E800" s="3">
        <v>894129</v>
      </c>
      <c r="F800">
        <v>90774</v>
      </c>
      <c r="G800">
        <v>68</v>
      </c>
      <c r="H800">
        <v>77114</v>
      </c>
      <c r="I800">
        <v>52323</v>
      </c>
      <c r="J800">
        <v>71437</v>
      </c>
      <c r="K800">
        <v>2020</v>
      </c>
    </row>
    <row r="801" spans="1:11" x14ac:dyDescent="0.3">
      <c r="A801">
        <v>19</v>
      </c>
      <c r="B801" s="1" t="s">
        <v>46</v>
      </c>
      <c r="C801" s="1" t="s">
        <v>47</v>
      </c>
      <c r="D801">
        <v>691090</v>
      </c>
      <c r="E801" s="3">
        <v>788925</v>
      </c>
      <c r="F801">
        <v>90806</v>
      </c>
      <c r="G801">
        <v>70</v>
      </c>
      <c r="H801">
        <v>72951</v>
      </c>
      <c r="I801">
        <v>8130</v>
      </c>
      <c r="J801">
        <v>90659</v>
      </c>
      <c r="K801">
        <v>2020</v>
      </c>
    </row>
    <row r="802" spans="1:11" x14ac:dyDescent="0.3">
      <c r="A802">
        <v>20</v>
      </c>
      <c r="B802" s="1" t="s">
        <v>33</v>
      </c>
      <c r="C802" s="1" t="s">
        <v>12</v>
      </c>
      <c r="D802">
        <v>686350</v>
      </c>
      <c r="E802" s="3">
        <v>843276</v>
      </c>
      <c r="F802">
        <v>90379</v>
      </c>
      <c r="G802">
        <v>72</v>
      </c>
      <c r="H802">
        <v>72094</v>
      </c>
      <c r="I802">
        <v>25792</v>
      </c>
      <c r="J802">
        <v>60852</v>
      </c>
      <c r="K802">
        <v>2020</v>
      </c>
    </row>
    <row r="803" spans="1:11" x14ac:dyDescent="0.3">
      <c r="A803">
        <v>21</v>
      </c>
      <c r="B803" s="1" t="s">
        <v>34</v>
      </c>
      <c r="C803" s="1" t="s">
        <v>24</v>
      </c>
      <c r="D803">
        <v>679080</v>
      </c>
      <c r="E803" s="3">
        <v>931287</v>
      </c>
      <c r="F803">
        <v>80848</v>
      </c>
      <c r="G803">
        <v>67</v>
      </c>
      <c r="H803">
        <v>94182</v>
      </c>
      <c r="I803">
        <v>49254</v>
      </c>
      <c r="J803">
        <v>58697</v>
      </c>
      <c r="K803">
        <v>2020</v>
      </c>
    </row>
    <row r="804" spans="1:11" x14ac:dyDescent="0.3">
      <c r="A804">
        <v>22</v>
      </c>
      <c r="B804" s="1" t="s">
        <v>53</v>
      </c>
      <c r="C804" s="1" t="s">
        <v>12</v>
      </c>
      <c r="D804">
        <v>677280</v>
      </c>
      <c r="E804" s="3">
        <v>815080</v>
      </c>
      <c r="F804">
        <v>93240</v>
      </c>
      <c r="G804">
        <v>72</v>
      </c>
      <c r="H804">
        <v>91341</v>
      </c>
      <c r="I804">
        <v>59876</v>
      </c>
      <c r="J804">
        <v>66452</v>
      </c>
      <c r="K804">
        <v>2020</v>
      </c>
    </row>
    <row r="805" spans="1:11" x14ac:dyDescent="0.3">
      <c r="A805">
        <v>23</v>
      </c>
      <c r="B805" s="1" t="s">
        <v>44</v>
      </c>
      <c r="C805" s="1" t="s">
        <v>12</v>
      </c>
      <c r="D805">
        <v>666380</v>
      </c>
      <c r="E805" s="3">
        <v>825242</v>
      </c>
      <c r="F805">
        <v>94267</v>
      </c>
      <c r="G805">
        <v>74</v>
      </c>
      <c r="H805">
        <v>74149</v>
      </c>
      <c r="I805">
        <v>19762</v>
      </c>
      <c r="J805">
        <v>57367</v>
      </c>
      <c r="K805">
        <v>2020</v>
      </c>
    </row>
    <row r="806" spans="1:11" x14ac:dyDescent="0.3">
      <c r="A806">
        <v>24</v>
      </c>
      <c r="B806" s="1" t="s">
        <v>28</v>
      </c>
      <c r="C806" s="1" t="s">
        <v>26</v>
      </c>
      <c r="D806">
        <v>646500</v>
      </c>
      <c r="E806" s="3">
        <v>666626</v>
      </c>
      <c r="F806">
        <v>79243</v>
      </c>
      <c r="G806">
        <v>68</v>
      </c>
      <c r="H806">
        <v>79896</v>
      </c>
      <c r="I806">
        <v>14583</v>
      </c>
      <c r="J806">
        <v>84407</v>
      </c>
      <c r="K806">
        <v>2020</v>
      </c>
    </row>
    <row r="807" spans="1:11" x14ac:dyDescent="0.3">
      <c r="A807">
        <v>25</v>
      </c>
      <c r="B807" s="1" t="s">
        <v>184</v>
      </c>
      <c r="C807" s="1" t="s">
        <v>55</v>
      </c>
      <c r="D807">
        <v>645540</v>
      </c>
      <c r="E807" s="3">
        <v>863858</v>
      </c>
      <c r="F807">
        <v>87735</v>
      </c>
      <c r="G807">
        <v>70</v>
      </c>
      <c r="H807">
        <v>64824</v>
      </c>
      <c r="I807">
        <v>26429</v>
      </c>
      <c r="J807">
        <v>75333</v>
      </c>
      <c r="K807">
        <v>2020</v>
      </c>
    </row>
    <row r="808" spans="1:11" x14ac:dyDescent="0.3">
      <c r="A808">
        <v>26</v>
      </c>
      <c r="B808" s="1" t="s">
        <v>48</v>
      </c>
      <c r="C808" s="1" t="s">
        <v>26</v>
      </c>
      <c r="D808">
        <v>644010</v>
      </c>
      <c r="E808" s="3">
        <v>696959</v>
      </c>
      <c r="F808">
        <v>92085</v>
      </c>
      <c r="G808">
        <v>69</v>
      </c>
      <c r="H808">
        <v>85719</v>
      </c>
      <c r="I808">
        <v>23191</v>
      </c>
      <c r="J808">
        <v>63721</v>
      </c>
      <c r="K808">
        <v>2020</v>
      </c>
    </row>
    <row r="809" spans="1:11" x14ac:dyDescent="0.3">
      <c r="A809">
        <v>27</v>
      </c>
      <c r="B809" s="1" t="s">
        <v>51</v>
      </c>
      <c r="C809" s="1" t="s">
        <v>24</v>
      </c>
      <c r="D809">
        <v>640650</v>
      </c>
      <c r="E809" s="3">
        <v>868321</v>
      </c>
      <c r="F809">
        <v>84646</v>
      </c>
      <c r="G809">
        <v>66</v>
      </c>
      <c r="H809">
        <v>79115</v>
      </c>
      <c r="I809">
        <v>15345</v>
      </c>
      <c r="J809">
        <v>69367</v>
      </c>
      <c r="K809">
        <v>2020</v>
      </c>
    </row>
    <row r="810" spans="1:11" x14ac:dyDescent="0.3">
      <c r="A810">
        <v>28</v>
      </c>
      <c r="B810" s="1" t="s">
        <v>52</v>
      </c>
      <c r="C810" s="1" t="s">
        <v>12</v>
      </c>
      <c r="D810">
        <v>640090</v>
      </c>
      <c r="E810" s="3">
        <v>800777</v>
      </c>
      <c r="F810">
        <v>91828</v>
      </c>
      <c r="G810">
        <v>74</v>
      </c>
      <c r="H810">
        <v>61446</v>
      </c>
      <c r="I810">
        <v>29010</v>
      </c>
      <c r="J810">
        <v>79447</v>
      </c>
      <c r="K810">
        <v>2020</v>
      </c>
    </row>
    <row r="811" spans="1:11" x14ac:dyDescent="0.3">
      <c r="A811">
        <v>29</v>
      </c>
      <c r="B811" s="1" t="s">
        <v>60</v>
      </c>
      <c r="C811" s="1" t="s">
        <v>26</v>
      </c>
      <c r="D811">
        <v>639890</v>
      </c>
      <c r="E811" s="3">
        <v>490550</v>
      </c>
      <c r="F811">
        <v>75878</v>
      </c>
      <c r="G811">
        <v>65</v>
      </c>
      <c r="H811">
        <v>88443</v>
      </c>
      <c r="I811">
        <v>29942</v>
      </c>
      <c r="J811">
        <v>81552</v>
      </c>
      <c r="K811">
        <v>2020</v>
      </c>
    </row>
    <row r="812" spans="1:11" x14ac:dyDescent="0.3">
      <c r="A812">
        <v>30</v>
      </c>
      <c r="B812" s="1" t="s">
        <v>68</v>
      </c>
      <c r="C812" s="1" t="s">
        <v>12</v>
      </c>
      <c r="D812">
        <v>638740</v>
      </c>
      <c r="E812" s="3">
        <v>804591</v>
      </c>
      <c r="F812">
        <v>87059</v>
      </c>
      <c r="G812">
        <v>74</v>
      </c>
      <c r="H812">
        <v>46346</v>
      </c>
      <c r="I812">
        <v>29881</v>
      </c>
      <c r="J812">
        <v>92470</v>
      </c>
      <c r="K812">
        <v>2020</v>
      </c>
    </row>
    <row r="813" spans="1:11" x14ac:dyDescent="0.3">
      <c r="A813">
        <v>31</v>
      </c>
      <c r="B813" s="1" t="s">
        <v>38</v>
      </c>
      <c r="C813" s="1" t="s">
        <v>39</v>
      </c>
      <c r="D813">
        <v>637710</v>
      </c>
      <c r="E813" s="3">
        <v>988875</v>
      </c>
      <c r="F813">
        <v>90171</v>
      </c>
      <c r="G813">
        <v>77</v>
      </c>
      <c r="H813">
        <v>91641</v>
      </c>
      <c r="I813">
        <v>38393</v>
      </c>
      <c r="J813">
        <v>0</v>
      </c>
      <c r="K813">
        <v>2020</v>
      </c>
    </row>
    <row r="814" spans="1:11" x14ac:dyDescent="0.3">
      <c r="A814">
        <v>32</v>
      </c>
      <c r="B814" s="1" t="s">
        <v>30</v>
      </c>
      <c r="C814" s="1" t="s">
        <v>26</v>
      </c>
      <c r="D814">
        <v>637560</v>
      </c>
      <c r="E814" s="3">
        <v>619961</v>
      </c>
      <c r="F814">
        <v>88104</v>
      </c>
      <c r="G814">
        <v>66</v>
      </c>
      <c r="H814">
        <v>69712</v>
      </c>
      <c r="I814">
        <v>23108</v>
      </c>
      <c r="J814">
        <v>80021</v>
      </c>
      <c r="K814">
        <v>2020</v>
      </c>
    </row>
    <row r="815" spans="1:11" x14ac:dyDescent="0.3">
      <c r="A815">
        <v>33</v>
      </c>
      <c r="B815" s="1" t="s">
        <v>73</v>
      </c>
      <c r="C815" s="1" t="s">
        <v>47</v>
      </c>
      <c r="D815">
        <v>636340</v>
      </c>
      <c r="E815" s="3">
        <v>786537</v>
      </c>
      <c r="F815">
        <v>94644</v>
      </c>
      <c r="G815">
        <v>71</v>
      </c>
      <c r="H815">
        <v>93283</v>
      </c>
      <c r="I815">
        <v>25570</v>
      </c>
      <c r="J815">
        <v>85649</v>
      </c>
      <c r="K815">
        <v>2020</v>
      </c>
    </row>
    <row r="816" spans="1:11" x14ac:dyDescent="0.3">
      <c r="A816">
        <v>34</v>
      </c>
      <c r="B816" s="1" t="s">
        <v>59</v>
      </c>
      <c r="C816" s="1" t="s">
        <v>26</v>
      </c>
      <c r="D816">
        <v>634830</v>
      </c>
      <c r="E816" s="3">
        <v>487377</v>
      </c>
      <c r="F816">
        <v>74271</v>
      </c>
      <c r="G816">
        <v>66</v>
      </c>
      <c r="H816">
        <v>75590</v>
      </c>
      <c r="I816">
        <v>20873</v>
      </c>
      <c r="J816">
        <v>78050</v>
      </c>
      <c r="K816">
        <v>2020</v>
      </c>
    </row>
    <row r="817" spans="1:11" x14ac:dyDescent="0.3">
      <c r="A817">
        <v>35</v>
      </c>
      <c r="B817" s="1" t="s">
        <v>87</v>
      </c>
      <c r="C817" s="1" t="s">
        <v>47</v>
      </c>
      <c r="D817">
        <v>632520</v>
      </c>
      <c r="E817" s="3">
        <v>546948</v>
      </c>
      <c r="F817">
        <v>76505</v>
      </c>
      <c r="G817">
        <v>64</v>
      </c>
      <c r="H817">
        <v>80384</v>
      </c>
      <c r="I817">
        <v>57087</v>
      </c>
      <c r="J817">
        <v>98395</v>
      </c>
      <c r="K817">
        <v>2020</v>
      </c>
    </row>
    <row r="818" spans="1:11" x14ac:dyDescent="0.3">
      <c r="A818">
        <v>36</v>
      </c>
      <c r="B818" s="1" t="s">
        <v>40</v>
      </c>
      <c r="C818" s="1" t="s">
        <v>26</v>
      </c>
      <c r="D818">
        <v>630480</v>
      </c>
      <c r="E818" s="3">
        <v>714313</v>
      </c>
      <c r="F818">
        <v>88923</v>
      </c>
      <c r="G818">
        <v>70</v>
      </c>
      <c r="H818">
        <v>83640</v>
      </c>
      <c r="I818">
        <v>17059</v>
      </c>
      <c r="J818">
        <v>89829</v>
      </c>
      <c r="K818">
        <v>2020</v>
      </c>
    </row>
    <row r="819" spans="1:11" x14ac:dyDescent="0.3">
      <c r="A819">
        <v>37</v>
      </c>
      <c r="B819" s="1" t="s">
        <v>63</v>
      </c>
      <c r="C819" s="1" t="s">
        <v>47</v>
      </c>
      <c r="D819">
        <v>628060</v>
      </c>
      <c r="E819" s="3">
        <v>777547</v>
      </c>
      <c r="F819">
        <v>92037</v>
      </c>
      <c r="G819">
        <v>69</v>
      </c>
      <c r="H819">
        <v>61093</v>
      </c>
      <c r="I819">
        <v>20486</v>
      </c>
      <c r="J819">
        <v>97882</v>
      </c>
      <c r="K819">
        <v>2020</v>
      </c>
    </row>
    <row r="820" spans="1:11" x14ac:dyDescent="0.3">
      <c r="A820">
        <v>38</v>
      </c>
      <c r="B820" s="1" t="s">
        <v>61</v>
      </c>
      <c r="C820" s="1" t="s">
        <v>62</v>
      </c>
      <c r="D820">
        <v>625760</v>
      </c>
      <c r="E820" s="3">
        <v>453351</v>
      </c>
      <c r="F820">
        <v>92663</v>
      </c>
      <c r="G820">
        <v>65</v>
      </c>
      <c r="H820">
        <v>100000</v>
      </c>
      <c r="I820">
        <v>63760</v>
      </c>
      <c r="J820">
        <v>47434</v>
      </c>
      <c r="K820">
        <v>2020</v>
      </c>
    </row>
    <row r="821" spans="1:11" x14ac:dyDescent="0.3">
      <c r="A821">
        <v>39</v>
      </c>
      <c r="B821" s="1" t="s">
        <v>42</v>
      </c>
      <c r="C821" s="1" t="s">
        <v>26</v>
      </c>
      <c r="D821">
        <v>622850</v>
      </c>
      <c r="E821" s="3">
        <v>713874</v>
      </c>
      <c r="F821">
        <v>85508</v>
      </c>
      <c r="G821">
        <v>70</v>
      </c>
      <c r="H821">
        <v>60219</v>
      </c>
      <c r="I821">
        <v>27303</v>
      </c>
      <c r="J821">
        <v>88212</v>
      </c>
      <c r="K821">
        <v>2020</v>
      </c>
    </row>
    <row r="822" spans="1:11" x14ac:dyDescent="0.3">
      <c r="A822">
        <v>40</v>
      </c>
      <c r="B822" s="1" t="s">
        <v>67</v>
      </c>
      <c r="C822" s="1" t="s">
        <v>24</v>
      </c>
      <c r="D822">
        <v>622730</v>
      </c>
      <c r="E822" s="3">
        <v>843829</v>
      </c>
      <c r="F822">
        <v>84993</v>
      </c>
      <c r="G822">
        <v>69</v>
      </c>
      <c r="H822">
        <v>88046</v>
      </c>
      <c r="I822">
        <v>50447</v>
      </c>
      <c r="J822">
        <v>76237</v>
      </c>
      <c r="K822">
        <v>2020</v>
      </c>
    </row>
    <row r="823" spans="1:11" x14ac:dyDescent="0.3">
      <c r="A823">
        <v>41</v>
      </c>
      <c r="B823" s="1" t="s">
        <v>74</v>
      </c>
      <c r="C823" s="1" t="s">
        <v>12</v>
      </c>
      <c r="D823">
        <v>621550</v>
      </c>
      <c r="E823" s="3">
        <v>776715</v>
      </c>
      <c r="F823">
        <v>92588</v>
      </c>
      <c r="G823">
        <v>67</v>
      </c>
      <c r="H823">
        <v>60649</v>
      </c>
      <c r="I823">
        <v>9423</v>
      </c>
      <c r="J823">
        <v>84742</v>
      </c>
      <c r="K823">
        <v>2020</v>
      </c>
    </row>
    <row r="824" spans="1:11" x14ac:dyDescent="0.3">
      <c r="A824">
        <v>42</v>
      </c>
      <c r="B824" s="1" t="s">
        <v>58</v>
      </c>
      <c r="C824" s="1" t="s">
        <v>26</v>
      </c>
      <c r="D824">
        <v>619190</v>
      </c>
      <c r="E824" s="3">
        <v>759849</v>
      </c>
      <c r="F824">
        <v>90938</v>
      </c>
      <c r="G824">
        <v>64</v>
      </c>
      <c r="H824">
        <v>79757</v>
      </c>
      <c r="I824">
        <v>34987</v>
      </c>
      <c r="J824">
        <v>97172</v>
      </c>
      <c r="K824">
        <v>2020</v>
      </c>
    </row>
    <row r="825" spans="1:11" x14ac:dyDescent="0.3">
      <c r="A825">
        <v>43</v>
      </c>
      <c r="B825" s="1" t="s">
        <v>78</v>
      </c>
      <c r="C825" s="1" t="s">
        <v>47</v>
      </c>
      <c r="D825">
        <v>618630</v>
      </c>
      <c r="E825" s="3">
        <v>760882</v>
      </c>
      <c r="F825">
        <v>84675</v>
      </c>
      <c r="G825">
        <v>69</v>
      </c>
      <c r="H825">
        <v>80474</v>
      </c>
      <c r="I825">
        <v>11122</v>
      </c>
      <c r="J825">
        <v>69889</v>
      </c>
      <c r="K825">
        <v>2020</v>
      </c>
    </row>
    <row r="826" spans="1:11" x14ac:dyDescent="0.3">
      <c r="A826">
        <v>44</v>
      </c>
      <c r="B826" s="1" t="s">
        <v>49</v>
      </c>
      <c r="C826" s="1" t="s">
        <v>26</v>
      </c>
      <c r="D826">
        <v>616340</v>
      </c>
      <c r="E826" s="3">
        <v>606636</v>
      </c>
      <c r="F826">
        <v>86229</v>
      </c>
      <c r="G826">
        <v>68</v>
      </c>
      <c r="H826">
        <v>76001</v>
      </c>
      <c r="I826">
        <v>16211</v>
      </c>
      <c r="J826">
        <v>91401</v>
      </c>
      <c r="K826">
        <v>2020</v>
      </c>
    </row>
    <row r="827" spans="1:11" x14ac:dyDescent="0.3">
      <c r="A827">
        <v>45</v>
      </c>
      <c r="B827" s="1" t="s">
        <v>85</v>
      </c>
      <c r="C827" s="1" t="s">
        <v>12</v>
      </c>
      <c r="D827">
        <v>615900</v>
      </c>
      <c r="E827" s="3">
        <v>789236</v>
      </c>
      <c r="F827">
        <v>74257</v>
      </c>
      <c r="G827">
        <v>74</v>
      </c>
      <c r="H827">
        <v>66264</v>
      </c>
      <c r="I827">
        <v>40001</v>
      </c>
      <c r="J827">
        <v>90396</v>
      </c>
      <c r="K827">
        <v>2020</v>
      </c>
    </row>
    <row r="828" spans="1:11" x14ac:dyDescent="0.3">
      <c r="A828">
        <v>46</v>
      </c>
      <c r="B828" s="1" t="s">
        <v>75</v>
      </c>
      <c r="C828" s="1" t="s">
        <v>26</v>
      </c>
      <c r="D828">
        <v>613710</v>
      </c>
      <c r="E828" s="3">
        <v>403490</v>
      </c>
      <c r="F828">
        <v>82117</v>
      </c>
      <c r="G828">
        <v>68</v>
      </c>
      <c r="H828">
        <v>80793</v>
      </c>
      <c r="I828">
        <v>37358</v>
      </c>
      <c r="J828">
        <v>67349</v>
      </c>
      <c r="K828">
        <v>2020</v>
      </c>
    </row>
    <row r="829" spans="1:11" x14ac:dyDescent="0.3">
      <c r="A829">
        <v>47</v>
      </c>
      <c r="B829" s="1" t="s">
        <v>106</v>
      </c>
      <c r="C829" s="1" t="s">
        <v>47</v>
      </c>
      <c r="D829">
        <v>612370</v>
      </c>
      <c r="E829" s="3">
        <v>729107</v>
      </c>
      <c r="F829">
        <v>77182</v>
      </c>
      <c r="G829">
        <v>67</v>
      </c>
      <c r="H829">
        <v>77149</v>
      </c>
      <c r="I829">
        <v>11966</v>
      </c>
      <c r="J829">
        <v>99844</v>
      </c>
      <c r="K829">
        <v>2020</v>
      </c>
    </row>
    <row r="830" spans="1:11" x14ac:dyDescent="0.3">
      <c r="A830">
        <v>48</v>
      </c>
      <c r="B830" s="1" t="s">
        <v>56</v>
      </c>
      <c r="C830" s="1" t="s">
        <v>24</v>
      </c>
      <c r="D830">
        <v>610210</v>
      </c>
      <c r="E830" s="3">
        <v>927218</v>
      </c>
      <c r="F830">
        <v>80435</v>
      </c>
      <c r="G830">
        <v>67</v>
      </c>
      <c r="H830">
        <v>82257</v>
      </c>
      <c r="I830">
        <v>23297</v>
      </c>
      <c r="J830">
        <v>78840</v>
      </c>
      <c r="K830">
        <v>2020</v>
      </c>
    </row>
    <row r="831" spans="1:11" x14ac:dyDescent="0.3">
      <c r="A831">
        <v>49</v>
      </c>
      <c r="B831" s="1" t="s">
        <v>89</v>
      </c>
      <c r="C831" s="1" t="s">
        <v>90</v>
      </c>
      <c r="D831">
        <v>610130</v>
      </c>
      <c r="E831" s="3">
        <v>698692</v>
      </c>
      <c r="F831">
        <v>90185</v>
      </c>
      <c r="G831">
        <v>66</v>
      </c>
      <c r="H831">
        <v>85225</v>
      </c>
      <c r="I831">
        <v>32799</v>
      </c>
      <c r="J831">
        <v>84228</v>
      </c>
      <c r="K831">
        <v>2020</v>
      </c>
    </row>
    <row r="832" spans="1:11" x14ac:dyDescent="0.3">
      <c r="A832">
        <v>50</v>
      </c>
      <c r="B832" s="1" t="s">
        <v>72</v>
      </c>
      <c r="C832" s="1" t="s">
        <v>62</v>
      </c>
      <c r="D832">
        <v>605790</v>
      </c>
      <c r="E832" s="3">
        <v>730534</v>
      </c>
      <c r="F832">
        <v>93907</v>
      </c>
      <c r="G832">
        <v>65</v>
      </c>
      <c r="H832">
        <v>71752</v>
      </c>
      <c r="I832">
        <v>26976</v>
      </c>
      <c r="J832">
        <v>79281</v>
      </c>
      <c r="K832">
        <v>2020</v>
      </c>
    </row>
    <row r="833" spans="1:11" x14ac:dyDescent="0.3">
      <c r="A833">
        <v>51</v>
      </c>
      <c r="B833" s="1" t="s">
        <v>92</v>
      </c>
      <c r="C833" s="1" t="s">
        <v>12</v>
      </c>
      <c r="D833">
        <v>602180</v>
      </c>
      <c r="E833" s="3">
        <v>775987</v>
      </c>
      <c r="F833">
        <v>93904</v>
      </c>
      <c r="G833">
        <v>69</v>
      </c>
      <c r="H833">
        <v>83180</v>
      </c>
      <c r="I833">
        <v>21961</v>
      </c>
      <c r="J833">
        <v>62157</v>
      </c>
      <c r="K833">
        <v>2020</v>
      </c>
    </row>
    <row r="834" spans="1:11" x14ac:dyDescent="0.3">
      <c r="A834">
        <v>52</v>
      </c>
      <c r="B834" s="1" t="s">
        <v>110</v>
      </c>
      <c r="C834" s="1" t="s">
        <v>39</v>
      </c>
      <c r="D834">
        <v>600600</v>
      </c>
      <c r="E834" s="3">
        <v>504414</v>
      </c>
      <c r="F834">
        <v>80474</v>
      </c>
      <c r="G834">
        <v>62</v>
      </c>
      <c r="H834">
        <v>89707</v>
      </c>
      <c r="I834">
        <v>22685</v>
      </c>
      <c r="J834">
        <v>75545</v>
      </c>
      <c r="K834">
        <v>2020</v>
      </c>
    </row>
    <row r="835" spans="1:11" x14ac:dyDescent="0.3">
      <c r="A835">
        <v>53</v>
      </c>
      <c r="B835" s="1" t="s">
        <v>124</v>
      </c>
      <c r="C835" s="1" t="s">
        <v>47</v>
      </c>
      <c r="D835">
        <v>600040</v>
      </c>
      <c r="E835" s="3">
        <v>757679</v>
      </c>
      <c r="F835">
        <v>91951</v>
      </c>
      <c r="G835">
        <v>68</v>
      </c>
      <c r="H835">
        <v>55736</v>
      </c>
      <c r="I835">
        <v>12371</v>
      </c>
      <c r="J835">
        <v>94833</v>
      </c>
      <c r="K835">
        <v>2020</v>
      </c>
    </row>
    <row r="836" spans="1:11" x14ac:dyDescent="0.3">
      <c r="A836">
        <v>54</v>
      </c>
      <c r="B836" s="1" t="s">
        <v>50</v>
      </c>
      <c r="C836" s="1" t="s">
        <v>39</v>
      </c>
      <c r="D836">
        <v>599880</v>
      </c>
      <c r="E836" s="3">
        <v>655330</v>
      </c>
      <c r="F836">
        <v>87073</v>
      </c>
      <c r="G836">
        <v>67</v>
      </c>
      <c r="H836">
        <v>87909</v>
      </c>
      <c r="I836">
        <v>66111</v>
      </c>
      <c r="J836">
        <v>94028</v>
      </c>
      <c r="K836">
        <v>2020</v>
      </c>
    </row>
    <row r="837" spans="1:11" x14ac:dyDescent="0.3">
      <c r="A837">
        <v>55</v>
      </c>
      <c r="B837" s="1" t="s">
        <v>45</v>
      </c>
      <c r="C837" s="1" t="s">
        <v>26</v>
      </c>
      <c r="D837">
        <v>597470</v>
      </c>
      <c r="E837" s="3">
        <v>669279</v>
      </c>
      <c r="F837">
        <v>88690</v>
      </c>
      <c r="G837">
        <v>69</v>
      </c>
      <c r="H837">
        <v>75128</v>
      </c>
      <c r="I837">
        <v>12302</v>
      </c>
      <c r="J837">
        <v>88669</v>
      </c>
      <c r="K837">
        <v>2020</v>
      </c>
    </row>
    <row r="838" spans="1:11" x14ac:dyDescent="0.3">
      <c r="A838">
        <v>56</v>
      </c>
      <c r="B838" s="1" t="s">
        <v>125</v>
      </c>
      <c r="C838" s="1" t="s">
        <v>26</v>
      </c>
      <c r="D838">
        <v>595320</v>
      </c>
      <c r="E838" s="3">
        <v>389649</v>
      </c>
      <c r="F838">
        <v>76679</v>
      </c>
      <c r="G838">
        <v>67</v>
      </c>
      <c r="H838">
        <v>81952</v>
      </c>
      <c r="I838">
        <v>45020</v>
      </c>
      <c r="J838">
        <v>83718</v>
      </c>
      <c r="K838">
        <v>2020</v>
      </c>
    </row>
    <row r="839" spans="1:11" x14ac:dyDescent="0.3">
      <c r="A839">
        <v>57</v>
      </c>
      <c r="B839" s="1" t="s">
        <v>109</v>
      </c>
      <c r="C839" s="1" t="s">
        <v>12</v>
      </c>
      <c r="D839">
        <v>595000</v>
      </c>
      <c r="E839" s="3">
        <v>742769</v>
      </c>
      <c r="F839">
        <v>91395</v>
      </c>
      <c r="G839">
        <v>67</v>
      </c>
      <c r="H839">
        <v>47485</v>
      </c>
      <c r="I839">
        <v>13234</v>
      </c>
      <c r="J839">
        <v>83046</v>
      </c>
      <c r="K839">
        <v>2020</v>
      </c>
    </row>
    <row r="840" spans="1:11" x14ac:dyDescent="0.3">
      <c r="A840">
        <v>58</v>
      </c>
      <c r="B840" s="1" t="s">
        <v>66</v>
      </c>
      <c r="C840" s="1" t="s">
        <v>26</v>
      </c>
      <c r="D840">
        <v>592520</v>
      </c>
      <c r="E840" s="3">
        <v>555344</v>
      </c>
      <c r="F840">
        <v>78900</v>
      </c>
      <c r="G840">
        <v>69</v>
      </c>
      <c r="H840">
        <v>80089</v>
      </c>
      <c r="I840">
        <v>20183</v>
      </c>
      <c r="J840">
        <v>83729</v>
      </c>
      <c r="K840">
        <v>2020</v>
      </c>
    </row>
    <row r="841" spans="1:11" x14ac:dyDescent="0.3">
      <c r="A841">
        <v>59</v>
      </c>
      <c r="B841" s="1" t="s">
        <v>108</v>
      </c>
      <c r="C841" s="1" t="s">
        <v>12</v>
      </c>
      <c r="D841">
        <v>591090</v>
      </c>
      <c r="E841" s="3">
        <v>760603</v>
      </c>
      <c r="F841">
        <v>86557</v>
      </c>
      <c r="G841">
        <v>72</v>
      </c>
      <c r="H841">
        <v>85089</v>
      </c>
      <c r="I841">
        <v>9308</v>
      </c>
      <c r="J841">
        <v>94798</v>
      </c>
      <c r="K841">
        <v>2020</v>
      </c>
    </row>
    <row r="842" spans="1:11" x14ac:dyDescent="0.3">
      <c r="A842">
        <v>60</v>
      </c>
      <c r="B842" s="1" t="s">
        <v>83</v>
      </c>
      <c r="C842" s="1" t="s">
        <v>26</v>
      </c>
      <c r="D842">
        <v>588980</v>
      </c>
      <c r="E842" s="3">
        <v>506976</v>
      </c>
      <c r="F842">
        <v>91000</v>
      </c>
      <c r="G842">
        <v>67</v>
      </c>
      <c r="H842">
        <v>79785</v>
      </c>
      <c r="I842">
        <v>20405</v>
      </c>
      <c r="J842">
        <v>94345</v>
      </c>
      <c r="K842">
        <v>2020</v>
      </c>
    </row>
    <row r="843" spans="1:11" x14ac:dyDescent="0.3">
      <c r="A843">
        <v>61</v>
      </c>
      <c r="B843" s="1" t="s">
        <v>65</v>
      </c>
      <c r="C843" s="1" t="s">
        <v>55</v>
      </c>
      <c r="D843">
        <v>587240</v>
      </c>
      <c r="E843" s="3">
        <v>810386</v>
      </c>
      <c r="F843">
        <v>73248</v>
      </c>
      <c r="G843">
        <v>74</v>
      </c>
      <c r="H843">
        <v>37411</v>
      </c>
      <c r="I843">
        <v>29888</v>
      </c>
      <c r="J843">
        <v>82258</v>
      </c>
      <c r="K843">
        <v>2020</v>
      </c>
    </row>
    <row r="844" spans="1:11" x14ac:dyDescent="0.3">
      <c r="A844">
        <v>62</v>
      </c>
      <c r="B844" s="1" t="s">
        <v>64</v>
      </c>
      <c r="C844" s="1" t="s">
        <v>55</v>
      </c>
      <c r="D844">
        <v>587080</v>
      </c>
      <c r="E844" s="3">
        <v>824327</v>
      </c>
      <c r="F844">
        <v>86092</v>
      </c>
      <c r="G844">
        <v>75</v>
      </c>
      <c r="H844">
        <v>71468</v>
      </c>
      <c r="I844">
        <v>6267</v>
      </c>
      <c r="J844">
        <v>65969</v>
      </c>
      <c r="K844">
        <v>2020</v>
      </c>
    </row>
    <row r="845" spans="1:11" x14ac:dyDescent="0.3">
      <c r="A845">
        <v>63</v>
      </c>
      <c r="B845" s="1" t="s">
        <v>76</v>
      </c>
      <c r="C845" s="1" t="s">
        <v>26</v>
      </c>
      <c r="D845">
        <v>579680</v>
      </c>
      <c r="E845" s="3">
        <v>597751</v>
      </c>
      <c r="F845">
        <v>78084</v>
      </c>
      <c r="G845">
        <v>68</v>
      </c>
      <c r="H845">
        <v>74027</v>
      </c>
      <c r="I845">
        <v>16078</v>
      </c>
      <c r="J845">
        <v>94930</v>
      </c>
      <c r="K845">
        <v>2020</v>
      </c>
    </row>
    <row r="846" spans="1:11" x14ac:dyDescent="0.3">
      <c r="A846">
        <v>64</v>
      </c>
      <c r="B846" s="1" t="s">
        <v>107</v>
      </c>
      <c r="C846" s="1" t="s">
        <v>47</v>
      </c>
      <c r="D846">
        <v>577820</v>
      </c>
      <c r="E846" s="3">
        <v>643064</v>
      </c>
      <c r="F846">
        <v>85776</v>
      </c>
      <c r="G846">
        <v>68</v>
      </c>
      <c r="H846">
        <v>57038</v>
      </c>
      <c r="I846">
        <v>26374</v>
      </c>
      <c r="J846">
        <v>88850</v>
      </c>
      <c r="K846">
        <v>2020</v>
      </c>
    </row>
    <row r="847" spans="1:11" x14ac:dyDescent="0.3">
      <c r="A847">
        <v>65</v>
      </c>
      <c r="B847" s="1" t="s">
        <v>69</v>
      </c>
      <c r="C847" s="1" t="s">
        <v>26</v>
      </c>
      <c r="D847">
        <v>574750</v>
      </c>
      <c r="E847" s="3">
        <v>475687</v>
      </c>
      <c r="F847">
        <v>73816</v>
      </c>
      <c r="G847">
        <v>64</v>
      </c>
      <c r="H847">
        <v>82863</v>
      </c>
      <c r="I847">
        <v>24284</v>
      </c>
      <c r="J847">
        <v>86319</v>
      </c>
      <c r="K847">
        <v>2020</v>
      </c>
    </row>
    <row r="848" spans="1:11" x14ac:dyDescent="0.3">
      <c r="A848">
        <v>66</v>
      </c>
      <c r="B848" s="1" t="s">
        <v>101</v>
      </c>
      <c r="C848" s="1" t="s">
        <v>99</v>
      </c>
      <c r="D848">
        <v>569330</v>
      </c>
      <c r="E848" s="3">
        <v>401385</v>
      </c>
      <c r="F848">
        <v>56410</v>
      </c>
      <c r="G848">
        <v>58</v>
      </c>
      <c r="H848">
        <v>58480</v>
      </c>
      <c r="I848">
        <v>40137</v>
      </c>
      <c r="J848">
        <v>77007</v>
      </c>
      <c r="K848">
        <v>2020</v>
      </c>
    </row>
    <row r="849" spans="1:11" x14ac:dyDescent="0.3">
      <c r="A849">
        <v>67</v>
      </c>
      <c r="B849" s="1" t="s">
        <v>71</v>
      </c>
      <c r="C849" s="1" t="s">
        <v>26</v>
      </c>
      <c r="D849">
        <v>569210</v>
      </c>
      <c r="E849" s="3">
        <v>584372</v>
      </c>
      <c r="F849">
        <v>88410</v>
      </c>
      <c r="G849">
        <v>66</v>
      </c>
      <c r="H849">
        <v>84600</v>
      </c>
      <c r="I849">
        <v>35854</v>
      </c>
      <c r="J849">
        <v>87794</v>
      </c>
      <c r="K849">
        <v>2020</v>
      </c>
    </row>
    <row r="850" spans="1:11" x14ac:dyDescent="0.3">
      <c r="A850">
        <v>68</v>
      </c>
      <c r="B850" s="1" t="s">
        <v>118</v>
      </c>
      <c r="C850" s="1" t="s">
        <v>26</v>
      </c>
      <c r="D850">
        <v>568920</v>
      </c>
      <c r="E850" s="3">
        <v>639817</v>
      </c>
      <c r="F850">
        <v>85870</v>
      </c>
      <c r="G850">
        <v>66</v>
      </c>
      <c r="H850">
        <v>81191</v>
      </c>
      <c r="I850">
        <v>19690</v>
      </c>
      <c r="J850">
        <v>78253</v>
      </c>
      <c r="K850">
        <v>2020</v>
      </c>
    </row>
    <row r="851" spans="1:11" x14ac:dyDescent="0.3">
      <c r="A851">
        <v>69</v>
      </c>
      <c r="B851" s="1" t="s">
        <v>116</v>
      </c>
      <c r="C851" s="1" t="s">
        <v>47</v>
      </c>
      <c r="D851">
        <v>567410</v>
      </c>
      <c r="E851" s="3">
        <v>597651</v>
      </c>
      <c r="F851">
        <v>77799</v>
      </c>
      <c r="G851">
        <v>68</v>
      </c>
      <c r="H851">
        <v>44047</v>
      </c>
      <c r="I851">
        <v>46332</v>
      </c>
      <c r="J851">
        <v>99780</v>
      </c>
      <c r="K851">
        <v>2020</v>
      </c>
    </row>
    <row r="852" spans="1:11" x14ac:dyDescent="0.3">
      <c r="A852">
        <v>70</v>
      </c>
      <c r="B852" s="1" t="s">
        <v>70</v>
      </c>
      <c r="C852" s="1" t="s">
        <v>47</v>
      </c>
      <c r="D852">
        <v>560750</v>
      </c>
      <c r="E852" s="3">
        <v>460681</v>
      </c>
      <c r="F852">
        <v>79952</v>
      </c>
      <c r="G852">
        <v>65</v>
      </c>
      <c r="H852">
        <v>56193</v>
      </c>
      <c r="I852">
        <v>30545</v>
      </c>
      <c r="J852">
        <v>97303</v>
      </c>
      <c r="K852">
        <v>2020</v>
      </c>
    </row>
    <row r="853" spans="1:11" x14ac:dyDescent="0.3">
      <c r="A853">
        <v>71</v>
      </c>
      <c r="B853" s="1" t="s">
        <v>126</v>
      </c>
      <c r="C853" s="1" t="s">
        <v>62</v>
      </c>
      <c r="D853">
        <v>555570</v>
      </c>
      <c r="E853" s="3">
        <v>309027</v>
      </c>
      <c r="F853">
        <v>78729</v>
      </c>
      <c r="G853">
        <v>64</v>
      </c>
      <c r="H853">
        <v>75171</v>
      </c>
      <c r="I853">
        <v>32013</v>
      </c>
      <c r="J853">
        <v>58403</v>
      </c>
      <c r="K853">
        <v>2020</v>
      </c>
    </row>
    <row r="854" spans="1:11" x14ac:dyDescent="0.3">
      <c r="A854">
        <v>72</v>
      </c>
      <c r="B854" s="1" t="s">
        <v>102</v>
      </c>
      <c r="C854" s="1" t="s">
        <v>47</v>
      </c>
      <c r="D854">
        <v>554610</v>
      </c>
      <c r="E854" s="3">
        <v>657360</v>
      </c>
      <c r="F854">
        <v>81784</v>
      </c>
      <c r="G854">
        <v>69</v>
      </c>
      <c r="H854">
        <v>43738</v>
      </c>
      <c r="I854">
        <v>26151</v>
      </c>
      <c r="J854">
        <v>81537</v>
      </c>
      <c r="K854">
        <v>2020</v>
      </c>
    </row>
    <row r="855" spans="1:11" x14ac:dyDescent="0.3">
      <c r="A855">
        <v>73</v>
      </c>
      <c r="B855" s="1" t="s">
        <v>82</v>
      </c>
      <c r="C855" s="1" t="s">
        <v>62</v>
      </c>
      <c r="D855">
        <v>554600</v>
      </c>
      <c r="E855" s="3">
        <v>733401</v>
      </c>
      <c r="F855">
        <v>89085</v>
      </c>
      <c r="G855">
        <v>64</v>
      </c>
      <c r="H855">
        <v>57625</v>
      </c>
      <c r="I855">
        <v>17381</v>
      </c>
      <c r="J855">
        <v>91429</v>
      </c>
      <c r="K855">
        <v>2020</v>
      </c>
    </row>
    <row r="856" spans="1:11" x14ac:dyDescent="0.3">
      <c r="A856">
        <v>74</v>
      </c>
      <c r="B856" s="1" t="s">
        <v>96</v>
      </c>
      <c r="C856" s="1" t="s">
        <v>62</v>
      </c>
      <c r="D856">
        <v>554150</v>
      </c>
      <c r="E856" s="3">
        <v>333955</v>
      </c>
      <c r="F856">
        <v>86654</v>
      </c>
      <c r="G856">
        <v>64</v>
      </c>
      <c r="H856">
        <v>88655</v>
      </c>
      <c r="I856">
        <v>52889</v>
      </c>
      <c r="J856">
        <v>94286</v>
      </c>
      <c r="K856">
        <v>2020</v>
      </c>
    </row>
    <row r="857" spans="1:11" x14ac:dyDescent="0.3">
      <c r="A857">
        <v>75</v>
      </c>
      <c r="B857" s="1" t="s">
        <v>77</v>
      </c>
      <c r="C857" s="1" t="s">
        <v>62</v>
      </c>
      <c r="D857">
        <v>553990</v>
      </c>
      <c r="E857" s="3">
        <v>663025</v>
      </c>
      <c r="F857">
        <v>89634</v>
      </c>
      <c r="G857">
        <v>66</v>
      </c>
      <c r="H857">
        <v>41940</v>
      </c>
      <c r="I857">
        <v>15783</v>
      </c>
      <c r="J857">
        <v>63687</v>
      </c>
      <c r="K857">
        <v>2020</v>
      </c>
    </row>
    <row r="858" spans="1:11" x14ac:dyDescent="0.3">
      <c r="A858">
        <v>77</v>
      </c>
      <c r="B858" s="1" t="s">
        <v>122</v>
      </c>
      <c r="C858" s="1" t="s">
        <v>24</v>
      </c>
      <c r="D858">
        <v>551500</v>
      </c>
      <c r="E858" s="3">
        <v>734098</v>
      </c>
      <c r="F858">
        <v>75536</v>
      </c>
      <c r="G858">
        <v>72</v>
      </c>
      <c r="H858">
        <v>25029</v>
      </c>
      <c r="I858">
        <v>0</v>
      </c>
      <c r="J858">
        <v>90839</v>
      </c>
      <c r="K858">
        <v>2020</v>
      </c>
    </row>
    <row r="859" spans="1:11" x14ac:dyDescent="0.3">
      <c r="A859">
        <v>78</v>
      </c>
      <c r="B859" s="1" t="s">
        <v>185</v>
      </c>
      <c r="C859" s="1" t="s">
        <v>55</v>
      </c>
      <c r="D859">
        <v>551040</v>
      </c>
      <c r="E859" s="3">
        <v>895925</v>
      </c>
      <c r="F859">
        <v>80357</v>
      </c>
      <c r="G859">
        <v>77</v>
      </c>
      <c r="H859">
        <v>66259</v>
      </c>
      <c r="I859">
        <v>50592</v>
      </c>
      <c r="J859">
        <v>37639</v>
      </c>
      <c r="K859">
        <v>2020</v>
      </c>
    </row>
    <row r="860" spans="1:11" x14ac:dyDescent="0.3">
      <c r="A860">
        <v>79</v>
      </c>
      <c r="B860" s="1" t="s">
        <v>80</v>
      </c>
      <c r="C860" s="1" t="s">
        <v>47</v>
      </c>
      <c r="D860">
        <v>550470</v>
      </c>
      <c r="E860" s="3">
        <v>721703</v>
      </c>
      <c r="F860">
        <v>84731</v>
      </c>
      <c r="G860">
        <v>70</v>
      </c>
      <c r="H860">
        <v>55023</v>
      </c>
      <c r="I860">
        <v>20006</v>
      </c>
      <c r="J860">
        <v>97688</v>
      </c>
      <c r="K860">
        <v>2020</v>
      </c>
    </row>
    <row r="861" spans="1:11" x14ac:dyDescent="0.3">
      <c r="A861">
        <v>80</v>
      </c>
      <c r="B861" s="1" t="s">
        <v>81</v>
      </c>
      <c r="C861" s="1" t="s">
        <v>24</v>
      </c>
      <c r="D861">
        <v>548880</v>
      </c>
      <c r="E861" s="3">
        <v>665016</v>
      </c>
      <c r="F861">
        <v>77301</v>
      </c>
      <c r="G861">
        <v>62</v>
      </c>
      <c r="H861">
        <v>65105</v>
      </c>
      <c r="I861">
        <v>25053</v>
      </c>
      <c r="J861">
        <v>67691</v>
      </c>
      <c r="K861">
        <v>2020</v>
      </c>
    </row>
    <row r="862" spans="1:11" x14ac:dyDescent="0.3">
      <c r="A862">
        <v>81</v>
      </c>
      <c r="B862" s="1" t="s">
        <v>120</v>
      </c>
      <c r="C862" s="1" t="s">
        <v>55</v>
      </c>
      <c r="D862">
        <v>545620</v>
      </c>
      <c r="E862" s="3">
        <v>588851</v>
      </c>
      <c r="F862">
        <v>94273</v>
      </c>
      <c r="G862">
        <v>62</v>
      </c>
      <c r="H862">
        <v>51308</v>
      </c>
      <c r="I862">
        <v>46311</v>
      </c>
      <c r="J862">
        <v>91272</v>
      </c>
      <c r="K862">
        <v>2020</v>
      </c>
    </row>
    <row r="863" spans="1:11" x14ac:dyDescent="0.3">
      <c r="A863">
        <v>82</v>
      </c>
      <c r="B863" s="1" t="s">
        <v>79</v>
      </c>
      <c r="C863" s="1" t="s">
        <v>39</v>
      </c>
      <c r="D863">
        <v>538430</v>
      </c>
      <c r="E863" s="3">
        <v>760356</v>
      </c>
      <c r="F863">
        <v>75861</v>
      </c>
      <c r="G863">
        <v>67</v>
      </c>
      <c r="H863">
        <v>86105</v>
      </c>
      <c r="I863">
        <v>48241</v>
      </c>
      <c r="J863">
        <v>88341</v>
      </c>
      <c r="K863">
        <v>2020</v>
      </c>
    </row>
    <row r="864" spans="1:11" x14ac:dyDescent="0.3">
      <c r="A864">
        <v>83</v>
      </c>
      <c r="B864" s="1" t="s">
        <v>94</v>
      </c>
      <c r="C864" s="1" t="s">
        <v>39</v>
      </c>
      <c r="D864">
        <v>535350</v>
      </c>
      <c r="E864" s="3">
        <v>467302</v>
      </c>
      <c r="F864">
        <v>80971</v>
      </c>
      <c r="G864">
        <v>68</v>
      </c>
      <c r="H864">
        <v>93879</v>
      </c>
      <c r="I864">
        <v>23953</v>
      </c>
      <c r="J864">
        <v>83148</v>
      </c>
      <c r="K864">
        <v>2020</v>
      </c>
    </row>
    <row r="865" spans="1:11" x14ac:dyDescent="0.3">
      <c r="A865">
        <v>84</v>
      </c>
      <c r="B865" s="1" t="s">
        <v>93</v>
      </c>
      <c r="C865" s="1" t="s">
        <v>39</v>
      </c>
      <c r="D865">
        <v>528560</v>
      </c>
      <c r="E865" s="3">
        <v>580292</v>
      </c>
      <c r="F865">
        <v>74620</v>
      </c>
      <c r="G865">
        <v>62</v>
      </c>
      <c r="H865">
        <v>81954</v>
      </c>
      <c r="I865">
        <v>95232</v>
      </c>
      <c r="J865">
        <v>92820</v>
      </c>
      <c r="K865">
        <v>2020</v>
      </c>
    </row>
    <row r="866" spans="1:11" x14ac:dyDescent="0.3">
      <c r="A866">
        <v>85</v>
      </c>
      <c r="B866" s="1" t="s">
        <v>171</v>
      </c>
      <c r="C866" s="1" t="s">
        <v>90</v>
      </c>
      <c r="D866">
        <v>523330</v>
      </c>
      <c r="E866" s="3">
        <v>349517</v>
      </c>
      <c r="F866">
        <v>51676</v>
      </c>
      <c r="G866">
        <v>50</v>
      </c>
      <c r="H866">
        <v>57282</v>
      </c>
      <c r="I866">
        <v>29819</v>
      </c>
      <c r="J866">
        <v>82464</v>
      </c>
      <c r="K866">
        <v>2020</v>
      </c>
    </row>
    <row r="867" spans="1:11" x14ac:dyDescent="0.3">
      <c r="A867">
        <v>86</v>
      </c>
      <c r="B867" s="1" t="s">
        <v>175</v>
      </c>
      <c r="C867" s="1" t="s">
        <v>90</v>
      </c>
      <c r="D867">
        <v>521600</v>
      </c>
      <c r="E867" s="3">
        <v>238336</v>
      </c>
      <c r="F867">
        <v>22773</v>
      </c>
      <c r="G867">
        <v>54</v>
      </c>
      <c r="H867">
        <v>58540</v>
      </c>
      <c r="I867">
        <v>34515</v>
      </c>
      <c r="J867">
        <v>76380</v>
      </c>
      <c r="K867">
        <v>2020</v>
      </c>
    </row>
    <row r="868" spans="1:11" x14ac:dyDescent="0.3">
      <c r="A868">
        <v>87</v>
      </c>
      <c r="B868" s="1" t="s">
        <v>190</v>
      </c>
      <c r="C868" s="1" t="s">
        <v>39</v>
      </c>
      <c r="D868">
        <v>519760</v>
      </c>
      <c r="E868" s="3">
        <v>610320</v>
      </c>
      <c r="F868">
        <v>90612</v>
      </c>
      <c r="G868">
        <v>71</v>
      </c>
      <c r="H868">
        <v>79075</v>
      </c>
      <c r="I868">
        <v>39346</v>
      </c>
      <c r="J868">
        <v>86513</v>
      </c>
      <c r="K868">
        <v>2020</v>
      </c>
    </row>
    <row r="869" spans="1:11" x14ac:dyDescent="0.3">
      <c r="A869">
        <v>88</v>
      </c>
      <c r="B869" s="1" t="s">
        <v>159</v>
      </c>
      <c r="C869" s="1" t="s">
        <v>90</v>
      </c>
      <c r="D869">
        <v>519440</v>
      </c>
      <c r="E869" s="3">
        <v>412329</v>
      </c>
      <c r="F869">
        <v>48957</v>
      </c>
      <c r="G869">
        <v>58</v>
      </c>
      <c r="H869">
        <v>55752</v>
      </c>
      <c r="I869">
        <v>20571</v>
      </c>
      <c r="J869">
        <v>77742</v>
      </c>
      <c r="K869">
        <v>2020</v>
      </c>
    </row>
    <row r="870" spans="1:11" x14ac:dyDescent="0.3">
      <c r="A870">
        <v>89</v>
      </c>
      <c r="B870" s="1" t="s">
        <v>100</v>
      </c>
      <c r="C870" s="1" t="s">
        <v>62</v>
      </c>
      <c r="D870">
        <v>516480</v>
      </c>
      <c r="E870" s="3">
        <v>644425</v>
      </c>
      <c r="F870">
        <v>76288</v>
      </c>
      <c r="G870">
        <v>66</v>
      </c>
      <c r="H870">
        <v>67468</v>
      </c>
      <c r="I870">
        <v>7040</v>
      </c>
      <c r="J870">
        <v>53615</v>
      </c>
      <c r="K870">
        <v>2020</v>
      </c>
    </row>
    <row r="871" spans="1:11" x14ac:dyDescent="0.3">
      <c r="A871">
        <v>90</v>
      </c>
      <c r="B871" s="1" t="s">
        <v>113</v>
      </c>
      <c r="C871" s="1" t="s">
        <v>47</v>
      </c>
      <c r="D871">
        <v>515980</v>
      </c>
      <c r="E871" s="3">
        <v>608698</v>
      </c>
      <c r="F871">
        <v>76454</v>
      </c>
      <c r="G871">
        <v>68</v>
      </c>
      <c r="H871">
        <v>59172</v>
      </c>
      <c r="I871">
        <v>32618</v>
      </c>
      <c r="J871">
        <v>95387</v>
      </c>
      <c r="K871">
        <v>2020</v>
      </c>
    </row>
    <row r="872" spans="1:11" x14ac:dyDescent="0.3">
      <c r="A872">
        <v>91</v>
      </c>
      <c r="B872" s="1" t="s">
        <v>134</v>
      </c>
      <c r="C872" s="1" t="s">
        <v>90</v>
      </c>
      <c r="D872">
        <v>514800</v>
      </c>
      <c r="E872" s="3">
        <v>374746</v>
      </c>
      <c r="F872">
        <v>62444</v>
      </c>
      <c r="G872">
        <v>57</v>
      </c>
      <c r="H872">
        <v>68846</v>
      </c>
      <c r="I872">
        <v>45856</v>
      </c>
      <c r="J872">
        <v>89390</v>
      </c>
      <c r="K872">
        <v>2020</v>
      </c>
    </row>
    <row r="873" spans="1:11" x14ac:dyDescent="0.3">
      <c r="A873">
        <v>92</v>
      </c>
      <c r="B873" s="1" t="s">
        <v>141</v>
      </c>
      <c r="C873" s="1" t="s">
        <v>99</v>
      </c>
      <c r="D873">
        <v>513720</v>
      </c>
      <c r="E873" s="3">
        <v>288968</v>
      </c>
      <c r="F873">
        <v>71130</v>
      </c>
      <c r="G873">
        <v>64</v>
      </c>
      <c r="H873">
        <v>69325</v>
      </c>
      <c r="I873">
        <v>52819</v>
      </c>
      <c r="J873">
        <v>76086</v>
      </c>
      <c r="K873">
        <v>2020</v>
      </c>
    </row>
    <row r="874" spans="1:11" x14ac:dyDescent="0.3">
      <c r="A874">
        <v>93</v>
      </c>
      <c r="B874" s="1" t="s">
        <v>95</v>
      </c>
      <c r="C874" s="1" t="s">
        <v>24</v>
      </c>
      <c r="D874">
        <v>513180</v>
      </c>
      <c r="E874" s="3">
        <v>733511</v>
      </c>
      <c r="F874">
        <v>77357</v>
      </c>
      <c r="G874">
        <v>67</v>
      </c>
      <c r="H874">
        <v>36696</v>
      </c>
      <c r="I874">
        <v>15073</v>
      </c>
      <c r="J874">
        <v>77308</v>
      </c>
      <c r="K874">
        <v>2020</v>
      </c>
    </row>
    <row r="875" spans="1:11" x14ac:dyDescent="0.3">
      <c r="A875">
        <v>94</v>
      </c>
      <c r="B875" s="1" t="s">
        <v>104</v>
      </c>
      <c r="C875" s="1" t="s">
        <v>55</v>
      </c>
      <c r="D875">
        <v>512390</v>
      </c>
      <c r="E875" s="3">
        <v>644595</v>
      </c>
      <c r="F875">
        <v>73152</v>
      </c>
      <c r="G875">
        <v>69</v>
      </c>
      <c r="H875">
        <v>86778</v>
      </c>
      <c r="I875">
        <v>13868</v>
      </c>
      <c r="J875">
        <v>78008</v>
      </c>
      <c r="K875">
        <v>2020</v>
      </c>
    </row>
    <row r="876" spans="1:11" x14ac:dyDescent="0.3">
      <c r="A876">
        <v>95</v>
      </c>
      <c r="B876" s="1" t="s">
        <v>88</v>
      </c>
      <c r="C876" s="1" t="s">
        <v>62</v>
      </c>
      <c r="D876">
        <v>511910</v>
      </c>
      <c r="E876" s="3">
        <v>656588</v>
      </c>
      <c r="F876">
        <v>97603</v>
      </c>
      <c r="G876">
        <v>62</v>
      </c>
      <c r="H876">
        <v>74320</v>
      </c>
      <c r="I876">
        <v>56708</v>
      </c>
      <c r="J876">
        <v>93716</v>
      </c>
      <c r="K876">
        <v>2020</v>
      </c>
    </row>
    <row r="877" spans="1:11" x14ac:dyDescent="0.3">
      <c r="A877">
        <v>96</v>
      </c>
      <c r="B877" s="1" t="s">
        <v>154</v>
      </c>
      <c r="C877" s="1" t="s">
        <v>47</v>
      </c>
      <c r="D877">
        <v>510150</v>
      </c>
      <c r="E877" s="3">
        <v>681051</v>
      </c>
      <c r="F877">
        <v>94379</v>
      </c>
      <c r="G877">
        <v>67</v>
      </c>
      <c r="H877">
        <v>60268</v>
      </c>
      <c r="I877">
        <v>18222</v>
      </c>
      <c r="J877">
        <v>100000</v>
      </c>
      <c r="K877">
        <v>2020</v>
      </c>
    </row>
    <row r="878" spans="1:11" x14ac:dyDescent="0.3">
      <c r="A878">
        <v>97</v>
      </c>
      <c r="B878" s="1" t="s">
        <v>112</v>
      </c>
      <c r="C878" s="1" t="s">
        <v>24</v>
      </c>
      <c r="D878">
        <v>509480</v>
      </c>
      <c r="E878" s="3">
        <v>493677</v>
      </c>
      <c r="F878">
        <v>41692</v>
      </c>
      <c r="G878">
        <v>66</v>
      </c>
      <c r="H878">
        <v>64918</v>
      </c>
      <c r="I878">
        <v>7026</v>
      </c>
      <c r="J878">
        <v>85486</v>
      </c>
      <c r="K878">
        <v>2020</v>
      </c>
    </row>
    <row r="879" spans="1:11" x14ac:dyDescent="0.3">
      <c r="A879">
        <v>98</v>
      </c>
      <c r="B879" s="1" t="s">
        <v>153</v>
      </c>
      <c r="C879" s="1" t="s">
        <v>90</v>
      </c>
      <c r="D879">
        <v>508490</v>
      </c>
      <c r="E879" s="3">
        <v>327953</v>
      </c>
      <c r="F879">
        <v>58138</v>
      </c>
      <c r="G879">
        <v>53</v>
      </c>
      <c r="H879">
        <v>63358</v>
      </c>
      <c r="I879">
        <v>34752</v>
      </c>
      <c r="J879">
        <v>89798</v>
      </c>
      <c r="K879">
        <v>2020</v>
      </c>
    </row>
    <row r="880" spans="1:11" x14ac:dyDescent="0.3">
      <c r="A880">
        <v>99</v>
      </c>
      <c r="B880" s="1" t="s">
        <v>37</v>
      </c>
      <c r="C880" s="1" t="s">
        <v>26</v>
      </c>
      <c r="D880">
        <v>505320</v>
      </c>
      <c r="E880" s="3">
        <v>501237</v>
      </c>
      <c r="F880">
        <v>87140</v>
      </c>
      <c r="G880">
        <v>67</v>
      </c>
      <c r="H880">
        <v>39194</v>
      </c>
      <c r="I880">
        <v>15300</v>
      </c>
      <c r="J880">
        <v>88067</v>
      </c>
      <c r="K880">
        <v>2020</v>
      </c>
    </row>
    <row r="881" spans="1:11" x14ac:dyDescent="0.3">
      <c r="A881">
        <v>100</v>
      </c>
      <c r="B881" s="1" t="s">
        <v>187</v>
      </c>
      <c r="C881" s="1" t="s">
        <v>24</v>
      </c>
      <c r="D881">
        <v>500510</v>
      </c>
      <c r="E881" s="3">
        <v>614219</v>
      </c>
      <c r="F881">
        <v>73858</v>
      </c>
      <c r="G881">
        <v>66</v>
      </c>
      <c r="H881">
        <v>12108</v>
      </c>
      <c r="I881">
        <v>20869</v>
      </c>
      <c r="J881">
        <v>75769</v>
      </c>
      <c r="K881">
        <v>2020</v>
      </c>
    </row>
    <row r="882" spans="1:11" x14ac:dyDescent="0.3">
      <c r="A882">
        <v>101</v>
      </c>
      <c r="B882" s="1" t="s">
        <v>162</v>
      </c>
      <c r="C882" s="1" t="s">
        <v>90</v>
      </c>
      <c r="D882">
        <v>498080</v>
      </c>
      <c r="E882" s="3">
        <v>328021</v>
      </c>
      <c r="F882">
        <v>61683</v>
      </c>
      <c r="G882">
        <v>60</v>
      </c>
      <c r="H882">
        <v>50832</v>
      </c>
      <c r="I882">
        <v>28851</v>
      </c>
      <c r="J882">
        <v>84645</v>
      </c>
      <c r="K882">
        <v>2020</v>
      </c>
    </row>
    <row r="883" spans="1:11" x14ac:dyDescent="0.3">
      <c r="A883">
        <v>102</v>
      </c>
      <c r="B883" s="1" t="s">
        <v>170</v>
      </c>
      <c r="C883" s="1" t="s">
        <v>90</v>
      </c>
      <c r="D883">
        <v>494930</v>
      </c>
      <c r="E883" s="3">
        <v>253800</v>
      </c>
      <c r="F883">
        <v>48551</v>
      </c>
      <c r="G883">
        <v>54</v>
      </c>
      <c r="H883">
        <v>53641</v>
      </c>
      <c r="I883">
        <v>43785</v>
      </c>
      <c r="J883">
        <v>78955</v>
      </c>
      <c r="K883">
        <v>2020</v>
      </c>
    </row>
    <row r="884" spans="1:11" x14ac:dyDescent="0.3">
      <c r="A884">
        <v>103</v>
      </c>
      <c r="B884" s="1" t="s">
        <v>164</v>
      </c>
      <c r="C884" s="1" t="s">
        <v>90</v>
      </c>
      <c r="D884">
        <v>490960</v>
      </c>
      <c r="E884" s="3">
        <v>70497</v>
      </c>
      <c r="F884">
        <v>45478</v>
      </c>
      <c r="G884">
        <v>54</v>
      </c>
      <c r="H884">
        <v>62791</v>
      </c>
      <c r="I884">
        <v>36534</v>
      </c>
      <c r="J884">
        <v>74200</v>
      </c>
      <c r="K884">
        <v>2020</v>
      </c>
    </row>
    <row r="885" spans="1:11" x14ac:dyDescent="0.3">
      <c r="A885">
        <v>104</v>
      </c>
      <c r="B885" s="1" t="s">
        <v>119</v>
      </c>
      <c r="C885" s="1" t="s">
        <v>55</v>
      </c>
      <c r="D885">
        <v>488860</v>
      </c>
      <c r="E885" s="3">
        <v>465091</v>
      </c>
      <c r="F885">
        <v>63803</v>
      </c>
      <c r="G885">
        <v>59</v>
      </c>
      <c r="H885">
        <v>88281</v>
      </c>
      <c r="I885">
        <v>47852</v>
      </c>
      <c r="J885">
        <v>63562</v>
      </c>
      <c r="K885">
        <v>2020</v>
      </c>
    </row>
    <row r="886" spans="1:11" x14ac:dyDescent="0.3">
      <c r="A886">
        <v>105</v>
      </c>
      <c r="B886" s="1" t="s">
        <v>115</v>
      </c>
      <c r="C886" s="1" t="s">
        <v>47</v>
      </c>
      <c r="D886">
        <v>488270</v>
      </c>
      <c r="E886" s="3">
        <v>590009</v>
      </c>
      <c r="F886">
        <v>53664</v>
      </c>
      <c r="G886">
        <v>69</v>
      </c>
      <c r="H886">
        <v>66633</v>
      </c>
      <c r="I886">
        <v>30015</v>
      </c>
      <c r="J886">
        <v>95243</v>
      </c>
      <c r="K886">
        <v>2020</v>
      </c>
    </row>
    <row r="887" spans="1:11" x14ac:dyDescent="0.3">
      <c r="A887">
        <v>106</v>
      </c>
      <c r="B887" s="1" t="s">
        <v>165</v>
      </c>
      <c r="C887" s="1" t="s">
        <v>39</v>
      </c>
      <c r="D887">
        <v>484840</v>
      </c>
      <c r="E887" s="3">
        <v>354424</v>
      </c>
      <c r="F887">
        <v>69233</v>
      </c>
      <c r="G887">
        <v>62</v>
      </c>
      <c r="H887">
        <v>97356</v>
      </c>
      <c r="I887">
        <v>40951</v>
      </c>
      <c r="J887">
        <v>86339</v>
      </c>
      <c r="K887">
        <v>2020</v>
      </c>
    </row>
    <row r="888" spans="1:11" x14ac:dyDescent="0.3">
      <c r="A888">
        <v>107</v>
      </c>
      <c r="B888" s="1" t="s">
        <v>129</v>
      </c>
      <c r="C888" s="1" t="s">
        <v>99</v>
      </c>
      <c r="D888">
        <v>483280</v>
      </c>
      <c r="E888" s="3">
        <v>361922</v>
      </c>
      <c r="F888">
        <v>56140</v>
      </c>
      <c r="G888">
        <v>65</v>
      </c>
      <c r="H888">
        <v>87142</v>
      </c>
      <c r="I888">
        <v>31018</v>
      </c>
      <c r="J888">
        <v>66851</v>
      </c>
      <c r="K888">
        <v>2020</v>
      </c>
    </row>
    <row r="889" spans="1:11" x14ac:dyDescent="0.3">
      <c r="A889">
        <v>108</v>
      </c>
      <c r="B889" s="1" t="s">
        <v>163</v>
      </c>
      <c r="C889" s="1" t="s">
        <v>90</v>
      </c>
      <c r="D889">
        <v>482930</v>
      </c>
      <c r="E889" s="3">
        <v>642975</v>
      </c>
      <c r="F889">
        <v>71493</v>
      </c>
      <c r="G889">
        <v>60</v>
      </c>
      <c r="H889">
        <v>53292</v>
      </c>
      <c r="I889">
        <v>9128</v>
      </c>
      <c r="J889">
        <v>89533</v>
      </c>
      <c r="K889">
        <v>2020</v>
      </c>
    </row>
    <row r="890" spans="1:11" x14ac:dyDescent="0.3">
      <c r="A890">
        <v>109</v>
      </c>
      <c r="B890" s="1" t="s">
        <v>133</v>
      </c>
      <c r="C890" s="1" t="s">
        <v>90</v>
      </c>
      <c r="D890">
        <v>481410</v>
      </c>
      <c r="E890" s="3">
        <v>587073</v>
      </c>
      <c r="F890">
        <v>81359</v>
      </c>
      <c r="G890">
        <v>57</v>
      </c>
      <c r="H890">
        <v>62715</v>
      </c>
      <c r="I890">
        <v>22184</v>
      </c>
      <c r="J890">
        <v>88840</v>
      </c>
      <c r="K890">
        <v>2020</v>
      </c>
    </row>
    <row r="891" spans="1:11" x14ac:dyDescent="0.3">
      <c r="A891">
        <v>110</v>
      </c>
      <c r="B891" s="1" t="s">
        <v>132</v>
      </c>
      <c r="C891" s="1" t="s">
        <v>24</v>
      </c>
      <c r="D891">
        <v>478480</v>
      </c>
      <c r="E891" s="3">
        <v>639054</v>
      </c>
      <c r="F891">
        <v>65358</v>
      </c>
      <c r="G891">
        <v>60</v>
      </c>
      <c r="H891">
        <v>40906</v>
      </c>
      <c r="I891">
        <v>26851</v>
      </c>
      <c r="J891">
        <v>86277</v>
      </c>
      <c r="K891">
        <v>2020</v>
      </c>
    </row>
    <row r="892" spans="1:11" x14ac:dyDescent="0.3">
      <c r="A892">
        <v>111</v>
      </c>
      <c r="B892" s="1" t="s">
        <v>123</v>
      </c>
      <c r="C892" s="1" t="s">
        <v>24</v>
      </c>
      <c r="D892">
        <v>477150</v>
      </c>
      <c r="E892" s="3">
        <v>578673</v>
      </c>
      <c r="F892">
        <v>77056</v>
      </c>
      <c r="G892">
        <v>67</v>
      </c>
      <c r="H892">
        <v>26760</v>
      </c>
      <c r="I892">
        <v>27820</v>
      </c>
      <c r="J892">
        <v>95964</v>
      </c>
      <c r="K892">
        <v>2020</v>
      </c>
    </row>
    <row r="893" spans="1:11" x14ac:dyDescent="0.3">
      <c r="A893">
        <v>112</v>
      </c>
      <c r="B893" s="1" t="s">
        <v>172</v>
      </c>
      <c r="C893" s="1" t="s">
        <v>90</v>
      </c>
      <c r="D893">
        <v>476870</v>
      </c>
      <c r="E893" s="3">
        <v>196832</v>
      </c>
      <c r="F893">
        <v>60055</v>
      </c>
      <c r="G893">
        <v>54</v>
      </c>
      <c r="H893">
        <v>46504</v>
      </c>
      <c r="I893">
        <v>32711</v>
      </c>
      <c r="J893">
        <v>76291</v>
      </c>
      <c r="K893">
        <v>2020</v>
      </c>
    </row>
    <row r="894" spans="1:11" x14ac:dyDescent="0.3">
      <c r="A894">
        <v>113</v>
      </c>
      <c r="B894" s="1" t="s">
        <v>189</v>
      </c>
      <c r="C894" s="1" t="s">
        <v>90</v>
      </c>
      <c r="D894">
        <v>475060</v>
      </c>
      <c r="E894" s="3">
        <v>167238</v>
      </c>
      <c r="F894">
        <v>57037</v>
      </c>
      <c r="G894">
        <v>55</v>
      </c>
      <c r="H894">
        <v>58191</v>
      </c>
      <c r="I894">
        <v>74759</v>
      </c>
      <c r="J894">
        <v>70348</v>
      </c>
      <c r="K894">
        <v>2020</v>
      </c>
    </row>
    <row r="895" spans="1:11" x14ac:dyDescent="0.3">
      <c r="A895">
        <v>114</v>
      </c>
      <c r="B895" s="1" t="s">
        <v>158</v>
      </c>
      <c r="C895" s="1" t="s">
        <v>90</v>
      </c>
      <c r="D895">
        <v>472930</v>
      </c>
      <c r="E895" s="3">
        <v>229367</v>
      </c>
      <c r="F895">
        <v>62882</v>
      </c>
      <c r="G895">
        <v>52</v>
      </c>
      <c r="H895">
        <v>54457</v>
      </c>
      <c r="I895">
        <v>29776</v>
      </c>
      <c r="J895">
        <v>88344</v>
      </c>
      <c r="K895">
        <v>2020</v>
      </c>
    </row>
    <row r="896" spans="1:11" x14ac:dyDescent="0.3">
      <c r="A896">
        <v>115</v>
      </c>
      <c r="B896" s="1" t="s">
        <v>97</v>
      </c>
      <c r="C896" s="1" t="s">
        <v>90</v>
      </c>
      <c r="D896">
        <v>472410</v>
      </c>
      <c r="E896" s="3">
        <v>420324</v>
      </c>
      <c r="F896">
        <v>63759</v>
      </c>
      <c r="G896">
        <v>50</v>
      </c>
      <c r="H896">
        <v>62758</v>
      </c>
      <c r="I896">
        <v>38842</v>
      </c>
      <c r="J896">
        <v>91074</v>
      </c>
      <c r="K896">
        <v>2020</v>
      </c>
    </row>
    <row r="897" spans="1:11" x14ac:dyDescent="0.3">
      <c r="A897">
        <v>116</v>
      </c>
      <c r="B897" s="1" t="s">
        <v>147</v>
      </c>
      <c r="C897" s="1" t="s">
        <v>62</v>
      </c>
      <c r="D897">
        <v>467680</v>
      </c>
      <c r="E897" s="3">
        <v>525981</v>
      </c>
      <c r="F897">
        <v>66852</v>
      </c>
      <c r="G897">
        <v>67</v>
      </c>
      <c r="H897">
        <v>54535</v>
      </c>
      <c r="I897">
        <v>18818</v>
      </c>
      <c r="J897">
        <v>80378</v>
      </c>
      <c r="K897">
        <v>2020</v>
      </c>
    </row>
    <row r="898" spans="1:11" x14ac:dyDescent="0.3">
      <c r="A898">
        <v>117</v>
      </c>
      <c r="B898" s="1" t="s">
        <v>150</v>
      </c>
      <c r="C898" s="1" t="s">
        <v>62</v>
      </c>
      <c r="D898">
        <v>467260</v>
      </c>
      <c r="E898" s="3">
        <v>551319</v>
      </c>
      <c r="F898">
        <v>47248</v>
      </c>
      <c r="G898">
        <v>64</v>
      </c>
      <c r="H898">
        <v>70030</v>
      </c>
      <c r="I898">
        <v>8355</v>
      </c>
      <c r="J898">
        <v>67348</v>
      </c>
      <c r="K898">
        <v>2020</v>
      </c>
    </row>
    <row r="899" spans="1:11" x14ac:dyDescent="0.3">
      <c r="A899">
        <v>118</v>
      </c>
      <c r="B899" s="1" t="s">
        <v>130</v>
      </c>
      <c r="C899" s="1" t="s">
        <v>24</v>
      </c>
      <c r="D899">
        <v>467240</v>
      </c>
      <c r="E899" s="3">
        <v>669837</v>
      </c>
      <c r="F899">
        <v>57269</v>
      </c>
      <c r="G899">
        <v>66</v>
      </c>
      <c r="H899">
        <v>43446</v>
      </c>
      <c r="I899">
        <v>48609</v>
      </c>
      <c r="J899">
        <v>73244</v>
      </c>
      <c r="K899">
        <v>2020</v>
      </c>
    </row>
    <row r="900" spans="1:11" x14ac:dyDescent="0.3">
      <c r="A900">
        <v>119</v>
      </c>
      <c r="B900" s="1" t="s">
        <v>103</v>
      </c>
      <c r="C900" s="1" t="s">
        <v>24</v>
      </c>
      <c r="D900">
        <v>463340</v>
      </c>
      <c r="E900" s="3">
        <v>510959</v>
      </c>
      <c r="F900">
        <v>73672</v>
      </c>
      <c r="G900">
        <v>67</v>
      </c>
      <c r="H900">
        <v>61283</v>
      </c>
      <c r="I900">
        <v>16057</v>
      </c>
      <c r="J900">
        <v>71514</v>
      </c>
      <c r="K900">
        <v>2020</v>
      </c>
    </row>
    <row r="901" spans="1:11" x14ac:dyDescent="0.3">
      <c r="A901">
        <v>120</v>
      </c>
      <c r="B901" s="1" t="s">
        <v>114</v>
      </c>
      <c r="C901" s="1" t="s">
        <v>90</v>
      </c>
      <c r="D901">
        <v>462360</v>
      </c>
      <c r="E901" s="3">
        <v>116317</v>
      </c>
      <c r="F901">
        <v>61723</v>
      </c>
      <c r="G901">
        <v>54</v>
      </c>
      <c r="H901">
        <v>80888</v>
      </c>
      <c r="I901">
        <v>38683</v>
      </c>
      <c r="J901">
        <v>69416</v>
      </c>
      <c r="K901">
        <v>2020</v>
      </c>
    </row>
    <row r="902" spans="1:11" x14ac:dyDescent="0.3">
      <c r="A902">
        <v>121</v>
      </c>
      <c r="B902" s="1" t="s">
        <v>145</v>
      </c>
      <c r="C902" s="1" t="s">
        <v>90</v>
      </c>
      <c r="D902">
        <v>458300</v>
      </c>
      <c r="E902" s="3">
        <v>310029</v>
      </c>
      <c r="F902">
        <v>58484</v>
      </c>
      <c r="G902">
        <v>60</v>
      </c>
      <c r="H902">
        <v>74889</v>
      </c>
      <c r="I902">
        <v>69128</v>
      </c>
      <c r="J902">
        <v>87396</v>
      </c>
      <c r="K902">
        <v>2020</v>
      </c>
    </row>
    <row r="903" spans="1:11" x14ac:dyDescent="0.3">
      <c r="A903">
        <v>122</v>
      </c>
      <c r="B903" s="1" t="s">
        <v>181</v>
      </c>
      <c r="C903" s="1" t="s">
        <v>90</v>
      </c>
      <c r="D903">
        <v>457110</v>
      </c>
      <c r="E903" s="3">
        <v>546688</v>
      </c>
      <c r="F903">
        <v>80497</v>
      </c>
      <c r="G903">
        <v>57</v>
      </c>
      <c r="H903">
        <v>64131</v>
      </c>
      <c r="I903">
        <v>13417</v>
      </c>
      <c r="J903">
        <v>89812</v>
      </c>
      <c r="K903">
        <v>2020</v>
      </c>
    </row>
    <row r="904" spans="1:11" x14ac:dyDescent="0.3">
      <c r="A904">
        <v>123</v>
      </c>
      <c r="B904" s="1" t="s">
        <v>131</v>
      </c>
      <c r="C904" s="1" t="s">
        <v>62</v>
      </c>
      <c r="D904">
        <v>456070</v>
      </c>
      <c r="E904" s="3">
        <v>507872</v>
      </c>
      <c r="F904">
        <v>85380</v>
      </c>
      <c r="G904">
        <v>65</v>
      </c>
      <c r="H904">
        <v>46075</v>
      </c>
      <c r="I904">
        <v>31335</v>
      </c>
      <c r="J904">
        <v>98190</v>
      </c>
      <c r="K904">
        <v>2020</v>
      </c>
    </row>
    <row r="905" spans="1:11" x14ac:dyDescent="0.3">
      <c r="A905">
        <v>124</v>
      </c>
      <c r="B905" s="1" t="s">
        <v>136</v>
      </c>
      <c r="C905" s="1" t="s">
        <v>90</v>
      </c>
      <c r="D905">
        <v>455790</v>
      </c>
      <c r="E905" s="3">
        <v>113298</v>
      </c>
      <c r="F905">
        <v>59496</v>
      </c>
      <c r="G905">
        <v>56</v>
      </c>
      <c r="H905">
        <v>58555</v>
      </c>
      <c r="I905">
        <v>39832</v>
      </c>
      <c r="J905">
        <v>90408</v>
      </c>
      <c r="K905">
        <v>2020</v>
      </c>
    </row>
    <row r="906" spans="1:11" x14ac:dyDescent="0.3">
      <c r="A906">
        <v>125</v>
      </c>
      <c r="B906" s="1" t="s">
        <v>128</v>
      </c>
      <c r="C906" s="1" t="s">
        <v>24</v>
      </c>
      <c r="D906">
        <v>455280</v>
      </c>
      <c r="E906" s="3">
        <v>382526</v>
      </c>
      <c r="F906">
        <v>77202</v>
      </c>
      <c r="G906">
        <v>62</v>
      </c>
      <c r="H906">
        <v>43086</v>
      </c>
      <c r="I906">
        <v>16113</v>
      </c>
      <c r="J906">
        <v>86512</v>
      </c>
      <c r="K906">
        <v>2020</v>
      </c>
    </row>
    <row r="907" spans="1:11" x14ac:dyDescent="0.3">
      <c r="A907">
        <v>126</v>
      </c>
      <c r="B907" s="1" t="s">
        <v>161</v>
      </c>
      <c r="C907" s="1" t="s">
        <v>90</v>
      </c>
      <c r="D907">
        <v>443200</v>
      </c>
      <c r="E907" s="3">
        <v>203255</v>
      </c>
      <c r="F907">
        <v>67999</v>
      </c>
      <c r="G907">
        <v>56</v>
      </c>
      <c r="H907">
        <v>57940</v>
      </c>
      <c r="I907">
        <v>46473</v>
      </c>
      <c r="J907">
        <v>88030</v>
      </c>
      <c r="K907">
        <v>2020</v>
      </c>
    </row>
    <row r="908" spans="1:11" x14ac:dyDescent="0.3">
      <c r="A908">
        <v>127</v>
      </c>
      <c r="B908" s="1" t="s">
        <v>169</v>
      </c>
      <c r="C908" s="1" t="s">
        <v>90</v>
      </c>
      <c r="D908">
        <v>442270</v>
      </c>
      <c r="E908" s="3">
        <v>196715</v>
      </c>
      <c r="F908">
        <v>47760</v>
      </c>
      <c r="G908">
        <v>48</v>
      </c>
      <c r="H908">
        <v>32974</v>
      </c>
      <c r="I908">
        <v>36995</v>
      </c>
      <c r="J908">
        <v>83916</v>
      </c>
      <c r="K908">
        <v>2020</v>
      </c>
    </row>
    <row r="909" spans="1:11" x14ac:dyDescent="0.3">
      <c r="A909">
        <v>128</v>
      </c>
      <c r="B909" s="1" t="s">
        <v>127</v>
      </c>
      <c r="C909" s="1" t="s">
        <v>24</v>
      </c>
      <c r="D909">
        <v>439220</v>
      </c>
      <c r="E909" s="3">
        <v>569243</v>
      </c>
      <c r="F909">
        <v>56357</v>
      </c>
      <c r="G909">
        <v>67</v>
      </c>
      <c r="H909">
        <v>34021</v>
      </c>
      <c r="I909">
        <v>9807</v>
      </c>
      <c r="J909">
        <v>91766</v>
      </c>
      <c r="K909">
        <v>2020</v>
      </c>
    </row>
    <row r="910" spans="1:11" x14ac:dyDescent="0.3">
      <c r="A910">
        <v>129</v>
      </c>
      <c r="B910" s="1" t="s">
        <v>144</v>
      </c>
      <c r="C910" s="1" t="s">
        <v>24</v>
      </c>
      <c r="D910">
        <v>437460</v>
      </c>
      <c r="E910" s="3">
        <v>351203</v>
      </c>
      <c r="F910">
        <v>71940</v>
      </c>
      <c r="G910">
        <v>57</v>
      </c>
      <c r="H910">
        <v>26788</v>
      </c>
      <c r="I910">
        <v>22621</v>
      </c>
      <c r="J910">
        <v>77069</v>
      </c>
      <c r="K910">
        <v>2020</v>
      </c>
    </row>
    <row r="911" spans="1:11" x14ac:dyDescent="0.3">
      <c r="A911">
        <v>130</v>
      </c>
      <c r="B911" s="1" t="s">
        <v>152</v>
      </c>
      <c r="C911" s="1" t="s">
        <v>99</v>
      </c>
      <c r="D911">
        <v>432700</v>
      </c>
      <c r="E911" s="3">
        <v>584370</v>
      </c>
      <c r="F911">
        <v>77214</v>
      </c>
      <c r="G911">
        <v>67</v>
      </c>
      <c r="H911">
        <v>76252</v>
      </c>
      <c r="I911">
        <v>44342</v>
      </c>
      <c r="J911">
        <v>90726</v>
      </c>
      <c r="K911">
        <v>2020</v>
      </c>
    </row>
    <row r="912" spans="1:11" x14ac:dyDescent="0.3">
      <c r="A912">
        <v>131</v>
      </c>
      <c r="B912" s="1" t="s">
        <v>140</v>
      </c>
      <c r="C912" s="1" t="s">
        <v>90</v>
      </c>
      <c r="D912">
        <v>431100</v>
      </c>
      <c r="E912" s="3">
        <v>40664</v>
      </c>
      <c r="F912">
        <v>53830</v>
      </c>
      <c r="G912">
        <v>53</v>
      </c>
      <c r="H912">
        <v>52595</v>
      </c>
      <c r="I912">
        <v>44633</v>
      </c>
      <c r="J912">
        <v>84720</v>
      </c>
      <c r="K912">
        <v>2020</v>
      </c>
    </row>
    <row r="913" spans="1:11" x14ac:dyDescent="0.3">
      <c r="A913">
        <v>132</v>
      </c>
      <c r="B913" s="1" t="s">
        <v>121</v>
      </c>
      <c r="C913" s="1" t="s">
        <v>90</v>
      </c>
      <c r="D913">
        <v>430810</v>
      </c>
      <c r="E913" s="3">
        <v>538526</v>
      </c>
      <c r="F913">
        <v>68807</v>
      </c>
      <c r="G913">
        <v>51</v>
      </c>
      <c r="H913">
        <v>43264</v>
      </c>
      <c r="I913">
        <v>11805</v>
      </c>
      <c r="J913">
        <v>72473</v>
      </c>
      <c r="K913">
        <v>2020</v>
      </c>
    </row>
    <row r="914" spans="1:11" x14ac:dyDescent="0.3">
      <c r="A914">
        <v>133</v>
      </c>
      <c r="B914" s="1" t="s">
        <v>149</v>
      </c>
      <c r="C914" s="1" t="s">
        <v>39</v>
      </c>
      <c r="D914">
        <v>430800</v>
      </c>
      <c r="E914" s="3">
        <v>441271</v>
      </c>
      <c r="F914">
        <v>70962</v>
      </c>
      <c r="G914">
        <v>59</v>
      </c>
      <c r="H914">
        <v>86183</v>
      </c>
      <c r="I914">
        <v>100000</v>
      </c>
      <c r="J914">
        <v>64827</v>
      </c>
      <c r="K914">
        <v>2020</v>
      </c>
    </row>
    <row r="915" spans="1:11" x14ac:dyDescent="0.3">
      <c r="A915">
        <v>134</v>
      </c>
      <c r="B915" s="1" t="s">
        <v>160</v>
      </c>
      <c r="C915" s="1" t="s">
        <v>90</v>
      </c>
      <c r="D915">
        <v>428860</v>
      </c>
      <c r="E915" s="3">
        <v>270467</v>
      </c>
      <c r="F915">
        <v>46734</v>
      </c>
      <c r="G915">
        <v>57</v>
      </c>
      <c r="H915">
        <v>26112</v>
      </c>
      <c r="I915">
        <v>45372</v>
      </c>
      <c r="J915">
        <v>81235</v>
      </c>
      <c r="K915">
        <v>2020</v>
      </c>
    </row>
    <row r="916" spans="1:11" x14ac:dyDescent="0.3">
      <c r="A916">
        <v>135</v>
      </c>
      <c r="B916" s="1" t="s">
        <v>178</v>
      </c>
      <c r="C916" s="1" t="s">
        <v>90</v>
      </c>
      <c r="D916">
        <v>418720</v>
      </c>
      <c r="E916" s="3">
        <v>174478</v>
      </c>
      <c r="F916">
        <v>35386</v>
      </c>
      <c r="G916">
        <v>55</v>
      </c>
      <c r="H916">
        <v>43784</v>
      </c>
      <c r="I916">
        <v>35235</v>
      </c>
      <c r="J916">
        <v>78463</v>
      </c>
      <c r="K916">
        <v>2020</v>
      </c>
    </row>
    <row r="917" spans="1:11" x14ac:dyDescent="0.3">
      <c r="A917">
        <v>136</v>
      </c>
      <c r="B917" s="1" t="s">
        <v>142</v>
      </c>
      <c r="C917" s="1" t="s">
        <v>90</v>
      </c>
      <c r="D917">
        <v>418620</v>
      </c>
      <c r="E917" s="3">
        <v>205070</v>
      </c>
      <c r="F917">
        <v>64689</v>
      </c>
      <c r="G917">
        <v>59</v>
      </c>
      <c r="H917">
        <v>59510</v>
      </c>
      <c r="I917">
        <v>39960</v>
      </c>
      <c r="J917">
        <v>77973</v>
      </c>
      <c r="K917">
        <v>2020</v>
      </c>
    </row>
    <row r="918" spans="1:11" x14ac:dyDescent="0.3">
      <c r="A918">
        <v>137</v>
      </c>
      <c r="B918" s="1" t="s">
        <v>167</v>
      </c>
      <c r="C918" s="1" t="s">
        <v>90</v>
      </c>
      <c r="D918">
        <v>416560</v>
      </c>
      <c r="E918" s="3">
        <v>159144</v>
      </c>
      <c r="F918">
        <v>53225</v>
      </c>
      <c r="G918">
        <v>59</v>
      </c>
      <c r="H918">
        <v>27834</v>
      </c>
      <c r="I918">
        <v>33553</v>
      </c>
      <c r="J918">
        <v>85699</v>
      </c>
      <c r="K918">
        <v>2020</v>
      </c>
    </row>
    <row r="919" spans="1:11" x14ac:dyDescent="0.3">
      <c r="A919">
        <v>138</v>
      </c>
      <c r="B919" s="1" t="s">
        <v>155</v>
      </c>
      <c r="C919" s="1" t="s">
        <v>24</v>
      </c>
      <c r="D919">
        <v>415140</v>
      </c>
      <c r="E919" s="3">
        <v>569560</v>
      </c>
      <c r="F919">
        <v>63489</v>
      </c>
      <c r="G919">
        <v>62</v>
      </c>
      <c r="H919">
        <v>53902</v>
      </c>
      <c r="I919">
        <v>12074</v>
      </c>
      <c r="J919">
        <v>82095</v>
      </c>
      <c r="K919">
        <v>2020</v>
      </c>
    </row>
    <row r="920" spans="1:11" x14ac:dyDescent="0.3">
      <c r="A920">
        <v>139</v>
      </c>
      <c r="B920" s="1" t="s">
        <v>143</v>
      </c>
      <c r="C920" s="1" t="s">
        <v>90</v>
      </c>
      <c r="D920">
        <v>392640</v>
      </c>
      <c r="E920" s="3">
        <v>156546</v>
      </c>
      <c r="F920">
        <v>48333</v>
      </c>
      <c r="G920">
        <v>51</v>
      </c>
      <c r="H920">
        <v>55105</v>
      </c>
      <c r="I920">
        <v>45216</v>
      </c>
      <c r="J920">
        <v>91008</v>
      </c>
      <c r="K920">
        <v>2020</v>
      </c>
    </row>
    <row r="921" spans="1:11" x14ac:dyDescent="0.3">
      <c r="A921">
        <v>140</v>
      </c>
      <c r="B921" s="1" t="s">
        <v>177</v>
      </c>
      <c r="C921" s="1" t="s">
        <v>90</v>
      </c>
      <c r="D921">
        <v>377530</v>
      </c>
      <c r="E921" s="3">
        <v>0</v>
      </c>
      <c r="F921">
        <v>26078</v>
      </c>
      <c r="G921">
        <v>53</v>
      </c>
      <c r="H921">
        <v>39725</v>
      </c>
      <c r="I921">
        <v>32888</v>
      </c>
      <c r="J921">
        <v>60202</v>
      </c>
      <c r="K921">
        <v>2020</v>
      </c>
    </row>
    <row r="922" spans="1:11" x14ac:dyDescent="0.3">
      <c r="A922">
        <v>141</v>
      </c>
      <c r="B922" s="1" t="s">
        <v>105</v>
      </c>
      <c r="C922" s="1" t="s">
        <v>90</v>
      </c>
      <c r="D922">
        <v>375940</v>
      </c>
      <c r="E922" s="3">
        <v>349347</v>
      </c>
      <c r="F922">
        <v>57900</v>
      </c>
      <c r="G922">
        <v>55</v>
      </c>
      <c r="H922">
        <v>70870</v>
      </c>
      <c r="I922">
        <v>43983</v>
      </c>
      <c r="J922">
        <v>83738</v>
      </c>
      <c r="K922">
        <v>2020</v>
      </c>
    </row>
    <row r="923" spans="1:11" x14ac:dyDescent="0.3">
      <c r="A923">
        <v>142</v>
      </c>
      <c r="B923" s="1" t="s">
        <v>139</v>
      </c>
      <c r="C923" s="1" t="s">
        <v>26</v>
      </c>
      <c r="D923">
        <v>372080</v>
      </c>
      <c r="E923" s="3">
        <v>185292</v>
      </c>
      <c r="F923">
        <v>41786</v>
      </c>
      <c r="G923">
        <v>56</v>
      </c>
      <c r="H923">
        <v>24420</v>
      </c>
      <c r="I923">
        <v>81414</v>
      </c>
      <c r="J923">
        <v>69627</v>
      </c>
      <c r="K923">
        <v>2020</v>
      </c>
    </row>
    <row r="924" spans="1:11" x14ac:dyDescent="0.3">
      <c r="A924">
        <v>143</v>
      </c>
      <c r="B924" s="1" t="s">
        <v>117</v>
      </c>
      <c r="C924" s="1" t="s">
        <v>90</v>
      </c>
      <c r="D924">
        <v>365280</v>
      </c>
      <c r="E924" s="3">
        <v>296054</v>
      </c>
      <c r="F924">
        <v>70365</v>
      </c>
      <c r="G924">
        <v>48</v>
      </c>
      <c r="H924">
        <v>59049</v>
      </c>
      <c r="I924">
        <v>18011</v>
      </c>
      <c r="J924">
        <v>90531</v>
      </c>
      <c r="K924">
        <v>2020</v>
      </c>
    </row>
    <row r="925" spans="1:11" x14ac:dyDescent="0.3">
      <c r="A925">
        <v>144</v>
      </c>
      <c r="B925" s="1" t="s">
        <v>137</v>
      </c>
      <c r="C925" s="1" t="s">
        <v>99</v>
      </c>
      <c r="D925">
        <v>357330</v>
      </c>
      <c r="E925" s="3">
        <v>475426</v>
      </c>
      <c r="F925">
        <v>41627</v>
      </c>
      <c r="G925">
        <v>60</v>
      </c>
      <c r="H925">
        <v>83826</v>
      </c>
      <c r="I925">
        <v>41605</v>
      </c>
      <c r="J925">
        <v>80196</v>
      </c>
      <c r="K925">
        <v>2020</v>
      </c>
    </row>
    <row r="926" spans="1:11" x14ac:dyDescent="0.3">
      <c r="A926">
        <v>145</v>
      </c>
      <c r="B926" s="1" t="s">
        <v>151</v>
      </c>
      <c r="C926" s="1" t="s">
        <v>90</v>
      </c>
      <c r="D926">
        <v>353800</v>
      </c>
      <c r="E926" s="3">
        <v>114881</v>
      </c>
      <c r="F926">
        <v>34271</v>
      </c>
      <c r="G926">
        <v>58</v>
      </c>
      <c r="H926">
        <v>70303</v>
      </c>
      <c r="I926">
        <v>37413</v>
      </c>
      <c r="J926">
        <v>75311</v>
      </c>
      <c r="K926">
        <v>2020</v>
      </c>
    </row>
    <row r="927" spans="1:11" x14ac:dyDescent="0.3">
      <c r="A927">
        <v>146</v>
      </c>
      <c r="B927" s="1" t="s">
        <v>156</v>
      </c>
      <c r="C927" s="1" t="s">
        <v>24</v>
      </c>
      <c r="D927">
        <v>352740</v>
      </c>
      <c r="E927" s="3">
        <v>255553</v>
      </c>
      <c r="F927">
        <v>76086</v>
      </c>
      <c r="G927">
        <v>57</v>
      </c>
      <c r="H927">
        <v>35155</v>
      </c>
      <c r="I927">
        <v>16618</v>
      </c>
      <c r="J927">
        <v>83616</v>
      </c>
      <c r="K927">
        <v>2020</v>
      </c>
    </row>
    <row r="928" spans="1:11" x14ac:dyDescent="0.3">
      <c r="A928">
        <v>147</v>
      </c>
      <c r="B928" s="1" t="s">
        <v>148</v>
      </c>
      <c r="C928" s="1" t="s">
        <v>90</v>
      </c>
      <c r="D928">
        <v>347890</v>
      </c>
      <c r="E928" s="3">
        <v>649160</v>
      </c>
      <c r="F928">
        <v>70155</v>
      </c>
      <c r="G928">
        <v>59</v>
      </c>
      <c r="H928">
        <v>73433</v>
      </c>
      <c r="I928">
        <v>5863</v>
      </c>
      <c r="J928">
        <v>80909</v>
      </c>
      <c r="K928">
        <v>2020</v>
      </c>
    </row>
    <row r="929" spans="1:11" x14ac:dyDescent="0.3">
      <c r="A929">
        <v>148</v>
      </c>
      <c r="B929" s="1" t="s">
        <v>166</v>
      </c>
      <c r="C929" s="1" t="s">
        <v>90</v>
      </c>
      <c r="D929">
        <v>347620</v>
      </c>
      <c r="E929" s="3">
        <v>297501</v>
      </c>
      <c r="F929">
        <v>56390</v>
      </c>
      <c r="G929">
        <v>57</v>
      </c>
      <c r="H929">
        <v>73470</v>
      </c>
      <c r="I929">
        <v>47654</v>
      </c>
      <c r="J929">
        <v>61760</v>
      </c>
      <c r="K929">
        <v>2020</v>
      </c>
    </row>
    <row r="930" spans="1:11" x14ac:dyDescent="0.3">
      <c r="A930">
        <v>149</v>
      </c>
      <c r="B930" s="1" t="s">
        <v>168</v>
      </c>
      <c r="C930" s="1" t="s">
        <v>90</v>
      </c>
      <c r="D930">
        <v>347590</v>
      </c>
      <c r="E930" s="3">
        <v>26728</v>
      </c>
      <c r="F930">
        <v>0</v>
      </c>
      <c r="G930">
        <v>45</v>
      </c>
      <c r="H930">
        <v>42237</v>
      </c>
      <c r="I930">
        <v>44491</v>
      </c>
      <c r="J930">
        <v>94699</v>
      </c>
      <c r="K930">
        <v>2020</v>
      </c>
    </row>
    <row r="931" spans="1:11" x14ac:dyDescent="0.3">
      <c r="A931">
        <v>150</v>
      </c>
      <c r="B931" s="1" t="s">
        <v>174</v>
      </c>
      <c r="C931" s="1" t="s">
        <v>90</v>
      </c>
      <c r="D931">
        <v>331230</v>
      </c>
      <c r="E931" s="3">
        <v>223367</v>
      </c>
      <c r="F931">
        <v>33787</v>
      </c>
      <c r="G931">
        <v>61</v>
      </c>
      <c r="H931">
        <v>87136</v>
      </c>
      <c r="I931">
        <v>41365</v>
      </c>
      <c r="J931">
        <v>8932</v>
      </c>
      <c r="K931">
        <v>2020</v>
      </c>
    </row>
    <row r="932" spans="1:11" x14ac:dyDescent="0.3">
      <c r="A932">
        <v>151</v>
      </c>
      <c r="B932" s="1" t="s">
        <v>135</v>
      </c>
      <c r="C932" s="1" t="s">
        <v>90</v>
      </c>
      <c r="D932">
        <v>329920</v>
      </c>
      <c r="E932" s="3">
        <v>276938</v>
      </c>
      <c r="F932">
        <v>67709</v>
      </c>
      <c r="G932">
        <v>56</v>
      </c>
      <c r="H932">
        <v>54438</v>
      </c>
      <c r="I932">
        <v>26561</v>
      </c>
      <c r="J932">
        <v>84821</v>
      </c>
      <c r="K932">
        <v>2020</v>
      </c>
    </row>
    <row r="933" spans="1:11" x14ac:dyDescent="0.3">
      <c r="A933">
        <v>152</v>
      </c>
      <c r="B933" s="1" t="s">
        <v>180</v>
      </c>
      <c r="C933" s="1" t="s">
        <v>90</v>
      </c>
      <c r="D933">
        <v>281660</v>
      </c>
      <c r="E933" s="3">
        <v>188122</v>
      </c>
      <c r="F933">
        <v>35751</v>
      </c>
      <c r="G933">
        <v>51</v>
      </c>
      <c r="H933">
        <v>9464</v>
      </c>
      <c r="I933">
        <v>36843</v>
      </c>
      <c r="J933">
        <v>79151</v>
      </c>
      <c r="K933">
        <v>2020</v>
      </c>
    </row>
    <row r="934" spans="1:11" x14ac:dyDescent="0.3">
      <c r="A934">
        <v>153</v>
      </c>
      <c r="B934" s="1" t="s">
        <v>173</v>
      </c>
      <c r="C934" s="1" t="s">
        <v>99</v>
      </c>
      <c r="D934">
        <v>256690</v>
      </c>
      <c r="E934" s="3">
        <v>195686</v>
      </c>
      <c r="F934">
        <v>23032</v>
      </c>
      <c r="G934">
        <v>53</v>
      </c>
      <c r="H934">
        <v>0</v>
      </c>
      <c r="I934">
        <v>23733</v>
      </c>
      <c r="J934">
        <v>99770</v>
      </c>
      <c r="K934">
        <v>2020</v>
      </c>
    </row>
    <row r="935" spans="1:11" x14ac:dyDescent="0.3">
      <c r="A935">
        <v>1</v>
      </c>
      <c r="B935" s="1" t="s">
        <v>18</v>
      </c>
      <c r="C935" s="1" t="s">
        <v>12</v>
      </c>
      <c r="D935">
        <v>784210</v>
      </c>
      <c r="E935" s="3">
        <v>826118</v>
      </c>
      <c r="F935">
        <v>94362</v>
      </c>
      <c r="G935">
        <v>72</v>
      </c>
      <c r="H935">
        <v>96454</v>
      </c>
      <c r="I935">
        <v>22947</v>
      </c>
      <c r="J935">
        <v>12117</v>
      </c>
      <c r="K935">
        <v>2021</v>
      </c>
    </row>
    <row r="936" spans="1:11" x14ac:dyDescent="0.3">
      <c r="A936">
        <v>2</v>
      </c>
      <c r="B936" s="1" t="s">
        <v>14</v>
      </c>
      <c r="C936" s="1" t="s">
        <v>12</v>
      </c>
      <c r="D936">
        <v>761950</v>
      </c>
      <c r="E936" s="3">
        <v>857642</v>
      </c>
      <c r="F936">
        <v>94517</v>
      </c>
      <c r="G936">
        <v>73</v>
      </c>
      <c r="H936">
        <v>95837</v>
      </c>
      <c r="I936">
        <v>38358</v>
      </c>
      <c r="J936">
        <v>11299</v>
      </c>
      <c r="K936">
        <v>2021</v>
      </c>
    </row>
    <row r="937" spans="1:11" x14ac:dyDescent="0.3">
      <c r="A937">
        <v>3</v>
      </c>
      <c r="B937" s="1" t="s">
        <v>11</v>
      </c>
      <c r="C937" s="1" t="s">
        <v>12</v>
      </c>
      <c r="D937">
        <v>757150</v>
      </c>
      <c r="E937" s="3">
        <v>894398</v>
      </c>
      <c r="F937">
        <v>92083</v>
      </c>
      <c r="G937">
        <v>74</v>
      </c>
      <c r="H937">
        <v>91274</v>
      </c>
      <c r="I937">
        <v>37698</v>
      </c>
      <c r="J937">
        <v>24463</v>
      </c>
      <c r="K937">
        <v>2021</v>
      </c>
    </row>
    <row r="938" spans="1:11" x14ac:dyDescent="0.3">
      <c r="A938">
        <v>4</v>
      </c>
      <c r="B938" s="1" t="s">
        <v>13</v>
      </c>
      <c r="C938" s="1" t="s">
        <v>12</v>
      </c>
      <c r="D938">
        <v>755390</v>
      </c>
      <c r="E938" s="3">
        <v>846586</v>
      </c>
      <c r="F938">
        <v>100000</v>
      </c>
      <c r="G938">
        <v>73</v>
      </c>
      <c r="H938">
        <v>97449</v>
      </c>
      <c r="I938">
        <v>54046</v>
      </c>
      <c r="J938">
        <v>68920</v>
      </c>
      <c r="K938">
        <v>2021</v>
      </c>
    </row>
    <row r="939" spans="1:11" x14ac:dyDescent="0.3">
      <c r="A939">
        <v>5</v>
      </c>
      <c r="B939" s="1" t="s">
        <v>19</v>
      </c>
      <c r="C939" s="1" t="s">
        <v>12</v>
      </c>
      <c r="D939">
        <v>746400</v>
      </c>
      <c r="E939" s="3">
        <v>857370</v>
      </c>
      <c r="F939">
        <v>92056</v>
      </c>
      <c r="G939">
        <v>72</v>
      </c>
      <c r="H939">
        <v>90310</v>
      </c>
      <c r="I939">
        <v>55870</v>
      </c>
      <c r="J939">
        <v>29856</v>
      </c>
      <c r="K939">
        <v>2021</v>
      </c>
    </row>
    <row r="940" spans="1:11" x14ac:dyDescent="0.3">
      <c r="A940">
        <v>6</v>
      </c>
      <c r="B940" s="1" t="s">
        <v>15</v>
      </c>
      <c r="C940" s="1" t="s">
        <v>12</v>
      </c>
      <c r="D940">
        <v>739250</v>
      </c>
      <c r="E940" s="3">
        <v>881579</v>
      </c>
      <c r="F940">
        <v>94524</v>
      </c>
      <c r="G940">
        <v>73</v>
      </c>
      <c r="H940">
        <v>98208</v>
      </c>
      <c r="I940">
        <v>45990</v>
      </c>
      <c r="J940">
        <v>21935</v>
      </c>
      <c r="K940">
        <v>2021</v>
      </c>
    </row>
    <row r="941" spans="1:11" x14ac:dyDescent="0.3">
      <c r="A941">
        <v>7</v>
      </c>
      <c r="B941" s="1" t="s">
        <v>20</v>
      </c>
      <c r="C941" s="1" t="s">
        <v>12</v>
      </c>
      <c r="D941">
        <v>736270</v>
      </c>
      <c r="E941" s="3">
        <v>844436</v>
      </c>
      <c r="F941">
        <v>90558</v>
      </c>
      <c r="G941">
        <v>73</v>
      </c>
      <c r="H941">
        <v>95662</v>
      </c>
      <c r="I941">
        <v>45121</v>
      </c>
      <c r="J941">
        <v>18137</v>
      </c>
      <c r="K941">
        <v>2021</v>
      </c>
    </row>
    <row r="942" spans="1:11" x14ac:dyDescent="0.3">
      <c r="A942">
        <v>8</v>
      </c>
      <c r="B942" s="1" t="s">
        <v>31</v>
      </c>
      <c r="C942" s="1" t="s">
        <v>12</v>
      </c>
      <c r="D942">
        <v>732440</v>
      </c>
      <c r="E942" s="3">
        <v>1000000</v>
      </c>
      <c r="F942">
        <v>85558</v>
      </c>
      <c r="G942">
        <v>73</v>
      </c>
      <c r="H942">
        <v>89301</v>
      </c>
      <c r="I942">
        <v>30684</v>
      </c>
      <c r="J942">
        <v>35510</v>
      </c>
      <c r="K942">
        <v>2021</v>
      </c>
    </row>
    <row r="943" spans="1:11" x14ac:dyDescent="0.3">
      <c r="A943">
        <v>9</v>
      </c>
      <c r="B943" s="1" t="s">
        <v>21</v>
      </c>
      <c r="C943" s="1" t="s">
        <v>17</v>
      </c>
      <c r="D943">
        <v>727660</v>
      </c>
      <c r="E943" s="3">
        <v>799680</v>
      </c>
      <c r="F943">
        <v>93314</v>
      </c>
      <c r="G943">
        <v>73</v>
      </c>
      <c r="H943">
        <v>92938</v>
      </c>
      <c r="I943">
        <v>50911</v>
      </c>
      <c r="J943">
        <v>18624</v>
      </c>
      <c r="K943">
        <v>2021</v>
      </c>
    </row>
    <row r="944" spans="1:11" x14ac:dyDescent="0.3">
      <c r="A944">
        <v>10</v>
      </c>
      <c r="B944" s="1" t="s">
        <v>27</v>
      </c>
      <c r="C944" s="1" t="s">
        <v>12</v>
      </c>
      <c r="D944">
        <v>726780</v>
      </c>
      <c r="E944" s="3">
        <v>852282</v>
      </c>
      <c r="F944">
        <v>90629</v>
      </c>
      <c r="G944">
        <v>73</v>
      </c>
      <c r="H944">
        <v>89388</v>
      </c>
      <c r="I944">
        <v>39740</v>
      </c>
      <c r="J944">
        <v>46586</v>
      </c>
      <c r="K944">
        <v>2021</v>
      </c>
    </row>
    <row r="945" spans="1:11" x14ac:dyDescent="0.3">
      <c r="A945">
        <v>11</v>
      </c>
      <c r="B945" s="1" t="s">
        <v>22</v>
      </c>
      <c r="C945" s="1" t="s">
        <v>17</v>
      </c>
      <c r="D945">
        <v>718350</v>
      </c>
      <c r="E945" s="3">
        <v>830190</v>
      </c>
      <c r="F945">
        <v>91777</v>
      </c>
      <c r="G945">
        <v>74</v>
      </c>
      <c r="H945">
        <v>90401</v>
      </c>
      <c r="I945">
        <v>53836</v>
      </c>
      <c r="J945">
        <v>42027</v>
      </c>
      <c r="K945">
        <v>2021</v>
      </c>
    </row>
    <row r="946" spans="1:11" x14ac:dyDescent="0.3">
      <c r="A946">
        <v>12</v>
      </c>
      <c r="B946" s="1" t="s">
        <v>23</v>
      </c>
      <c r="C946" s="1" t="s">
        <v>24</v>
      </c>
      <c r="D946">
        <v>715710</v>
      </c>
      <c r="E946" s="3">
        <v>786120</v>
      </c>
      <c r="F946">
        <v>91600</v>
      </c>
      <c r="G946">
        <v>74</v>
      </c>
      <c r="H946">
        <v>71090</v>
      </c>
      <c r="I946">
        <v>38427</v>
      </c>
      <c r="J946">
        <v>78279</v>
      </c>
      <c r="K946">
        <v>2021</v>
      </c>
    </row>
    <row r="947" spans="1:11" x14ac:dyDescent="0.3">
      <c r="A947">
        <v>13</v>
      </c>
      <c r="B947" s="1" t="s">
        <v>41</v>
      </c>
      <c r="C947" s="1" t="s">
        <v>12</v>
      </c>
      <c r="D947">
        <v>715450</v>
      </c>
      <c r="E947" s="3">
        <v>845544</v>
      </c>
      <c r="F947">
        <v>84669</v>
      </c>
      <c r="G947">
        <v>73</v>
      </c>
      <c r="H947">
        <v>83861</v>
      </c>
      <c r="I947">
        <v>36012</v>
      </c>
      <c r="J947">
        <v>44109</v>
      </c>
      <c r="K947">
        <v>2021</v>
      </c>
    </row>
    <row r="948" spans="1:11" x14ac:dyDescent="0.3">
      <c r="A948">
        <v>14</v>
      </c>
      <c r="B948" s="1" t="s">
        <v>16</v>
      </c>
      <c r="C948" s="1" t="s">
        <v>17</v>
      </c>
      <c r="D948">
        <v>710330</v>
      </c>
      <c r="E948" s="3">
        <v>826303</v>
      </c>
      <c r="F948">
        <v>89088</v>
      </c>
      <c r="G948">
        <v>74</v>
      </c>
      <c r="H948">
        <v>90575</v>
      </c>
      <c r="I948">
        <v>45492</v>
      </c>
      <c r="J948">
        <v>38807</v>
      </c>
      <c r="K948">
        <v>2021</v>
      </c>
    </row>
    <row r="949" spans="1:11" x14ac:dyDescent="0.3">
      <c r="A949">
        <v>15</v>
      </c>
      <c r="B949" s="1" t="s">
        <v>32</v>
      </c>
      <c r="C949" s="1" t="s">
        <v>12</v>
      </c>
      <c r="D949">
        <v>708530</v>
      </c>
      <c r="E949" s="3">
        <v>939281</v>
      </c>
      <c r="F949">
        <v>93137</v>
      </c>
      <c r="G949">
        <v>72</v>
      </c>
      <c r="H949">
        <v>84572</v>
      </c>
      <c r="I949">
        <v>44033</v>
      </c>
      <c r="J949">
        <v>32797</v>
      </c>
      <c r="K949">
        <v>2021</v>
      </c>
    </row>
    <row r="950" spans="1:11" x14ac:dyDescent="0.3">
      <c r="A950">
        <v>16</v>
      </c>
      <c r="B950" s="1" t="s">
        <v>25</v>
      </c>
      <c r="C950" s="1" t="s">
        <v>26</v>
      </c>
      <c r="D950">
        <v>706940</v>
      </c>
      <c r="E950" s="3">
        <v>647464</v>
      </c>
      <c r="F950">
        <v>82391</v>
      </c>
      <c r="G950">
        <v>71</v>
      </c>
      <c r="H950">
        <v>93933</v>
      </c>
      <c r="I950">
        <v>19487</v>
      </c>
      <c r="J950">
        <v>84769</v>
      </c>
      <c r="K950">
        <v>2021</v>
      </c>
    </row>
    <row r="951" spans="1:11" x14ac:dyDescent="0.3">
      <c r="A951">
        <v>17</v>
      </c>
      <c r="B951" s="1" t="s">
        <v>35</v>
      </c>
      <c r="C951" s="1" t="s">
        <v>12</v>
      </c>
      <c r="D951">
        <v>706360</v>
      </c>
      <c r="E951" s="3">
        <v>812537</v>
      </c>
      <c r="F951">
        <v>90592</v>
      </c>
      <c r="G951">
        <v>73</v>
      </c>
      <c r="H951">
        <v>81058</v>
      </c>
      <c r="I951">
        <v>62862</v>
      </c>
      <c r="J951">
        <v>44029</v>
      </c>
      <c r="K951">
        <v>2021</v>
      </c>
    </row>
    <row r="952" spans="1:11" x14ac:dyDescent="0.3">
      <c r="A952">
        <v>18</v>
      </c>
      <c r="B952" s="1" t="s">
        <v>46</v>
      </c>
      <c r="C952" s="1" t="s">
        <v>47</v>
      </c>
      <c r="D952">
        <v>696470</v>
      </c>
      <c r="E952" s="3">
        <v>782406</v>
      </c>
      <c r="F952">
        <v>92998</v>
      </c>
      <c r="G952">
        <v>71</v>
      </c>
      <c r="H952">
        <v>81013</v>
      </c>
      <c r="I952">
        <v>9619</v>
      </c>
      <c r="J952">
        <v>91653</v>
      </c>
      <c r="K952">
        <v>2021</v>
      </c>
    </row>
    <row r="953" spans="1:11" x14ac:dyDescent="0.3">
      <c r="A953">
        <v>19</v>
      </c>
      <c r="B953" s="1" t="s">
        <v>29</v>
      </c>
      <c r="C953" s="1" t="s">
        <v>17</v>
      </c>
      <c r="D953">
        <v>695150</v>
      </c>
      <c r="E953" s="3">
        <v>875594</v>
      </c>
      <c r="F953">
        <v>87876</v>
      </c>
      <c r="G953">
        <v>68</v>
      </c>
      <c r="H953">
        <v>77367</v>
      </c>
      <c r="I953">
        <v>46594</v>
      </c>
      <c r="J953">
        <v>71859</v>
      </c>
      <c r="K953">
        <v>2021</v>
      </c>
    </row>
    <row r="954" spans="1:11" x14ac:dyDescent="0.3">
      <c r="A954">
        <v>20</v>
      </c>
      <c r="B954" s="1" t="s">
        <v>33</v>
      </c>
      <c r="C954" s="1" t="s">
        <v>12</v>
      </c>
      <c r="D954">
        <v>683400</v>
      </c>
      <c r="E954" s="3">
        <v>835672</v>
      </c>
      <c r="F954">
        <v>85124</v>
      </c>
      <c r="G954">
        <v>72</v>
      </c>
      <c r="H954">
        <v>68250</v>
      </c>
      <c r="I954">
        <v>16245</v>
      </c>
      <c r="J954">
        <v>65738</v>
      </c>
      <c r="K954">
        <v>2021</v>
      </c>
    </row>
    <row r="955" spans="1:11" x14ac:dyDescent="0.3">
      <c r="A955">
        <v>21</v>
      </c>
      <c r="B955" s="1" t="s">
        <v>44</v>
      </c>
      <c r="C955" s="1" t="s">
        <v>12</v>
      </c>
      <c r="D955">
        <v>668990</v>
      </c>
      <c r="E955" s="3">
        <v>811889</v>
      </c>
      <c r="F955">
        <v>92199</v>
      </c>
      <c r="G955">
        <v>74</v>
      </c>
      <c r="H955">
        <v>74800</v>
      </c>
      <c r="I955">
        <v>17070</v>
      </c>
      <c r="J955">
        <v>57009</v>
      </c>
      <c r="K955">
        <v>2021</v>
      </c>
    </row>
    <row r="956" spans="1:11" x14ac:dyDescent="0.3">
      <c r="A956">
        <v>22</v>
      </c>
      <c r="B956" s="1" t="s">
        <v>67</v>
      </c>
      <c r="C956" s="1" t="s">
        <v>24</v>
      </c>
      <c r="D956">
        <v>664690</v>
      </c>
      <c r="E956" s="3">
        <v>804848</v>
      </c>
      <c r="F956">
        <v>76689</v>
      </c>
      <c r="G956">
        <v>69</v>
      </c>
      <c r="H956">
        <v>92328</v>
      </c>
      <c r="I956">
        <v>45470</v>
      </c>
      <c r="J956">
        <v>74649</v>
      </c>
      <c r="K956">
        <v>2021</v>
      </c>
    </row>
    <row r="957" spans="1:11" x14ac:dyDescent="0.3">
      <c r="A957">
        <v>23</v>
      </c>
      <c r="B957" s="1" t="s">
        <v>53</v>
      </c>
      <c r="C957" s="1" t="s">
        <v>12</v>
      </c>
      <c r="D957">
        <v>660200</v>
      </c>
      <c r="E957" s="3">
        <v>805856</v>
      </c>
      <c r="F957">
        <v>90005</v>
      </c>
      <c r="G957">
        <v>72</v>
      </c>
      <c r="H957">
        <v>92705</v>
      </c>
      <c r="I957">
        <v>50717</v>
      </c>
      <c r="J957">
        <v>66601</v>
      </c>
      <c r="K957">
        <v>2021</v>
      </c>
    </row>
    <row r="958" spans="1:11" x14ac:dyDescent="0.3">
      <c r="A958">
        <v>24</v>
      </c>
      <c r="B958" s="1" t="s">
        <v>184</v>
      </c>
      <c r="C958" s="1" t="s">
        <v>55</v>
      </c>
      <c r="D958">
        <v>658440</v>
      </c>
      <c r="E958" s="3">
        <v>845234</v>
      </c>
      <c r="F958">
        <v>83730</v>
      </c>
      <c r="G958">
        <v>70</v>
      </c>
      <c r="H958">
        <v>68427</v>
      </c>
      <c r="I958">
        <v>26233</v>
      </c>
      <c r="J958">
        <v>74572</v>
      </c>
      <c r="K958">
        <v>2021</v>
      </c>
    </row>
    <row r="959" spans="1:11" x14ac:dyDescent="0.3">
      <c r="A959">
        <v>25</v>
      </c>
      <c r="B959" s="1" t="s">
        <v>34</v>
      </c>
      <c r="C959" s="1" t="s">
        <v>24</v>
      </c>
      <c r="D959">
        <v>656050</v>
      </c>
      <c r="E959" s="3">
        <v>887917</v>
      </c>
      <c r="F959">
        <v>73373</v>
      </c>
      <c r="G959">
        <v>67</v>
      </c>
      <c r="H959">
        <v>93587</v>
      </c>
      <c r="I959">
        <v>43648</v>
      </c>
      <c r="J959">
        <v>59155</v>
      </c>
      <c r="K959">
        <v>2021</v>
      </c>
    </row>
    <row r="960" spans="1:11" x14ac:dyDescent="0.3">
      <c r="A960">
        <v>26</v>
      </c>
      <c r="B960" s="1" t="s">
        <v>51</v>
      </c>
      <c r="C960" s="1" t="s">
        <v>24</v>
      </c>
      <c r="D960">
        <v>649400</v>
      </c>
      <c r="E960" s="3">
        <v>819593</v>
      </c>
      <c r="F960">
        <v>82245</v>
      </c>
      <c r="G960">
        <v>67</v>
      </c>
      <c r="H960">
        <v>84216</v>
      </c>
      <c r="I960">
        <v>16719</v>
      </c>
      <c r="J960">
        <v>70219</v>
      </c>
      <c r="K960">
        <v>2021</v>
      </c>
    </row>
    <row r="961" spans="1:11" x14ac:dyDescent="0.3">
      <c r="A961">
        <v>27</v>
      </c>
      <c r="B961" s="1" t="s">
        <v>52</v>
      </c>
      <c r="C961" s="1" t="s">
        <v>12</v>
      </c>
      <c r="D961">
        <v>649070</v>
      </c>
      <c r="E961" s="3">
        <v>785340</v>
      </c>
      <c r="F961">
        <v>90130</v>
      </c>
      <c r="G961">
        <v>75</v>
      </c>
      <c r="H961">
        <v>64519</v>
      </c>
      <c r="I961">
        <v>24950</v>
      </c>
      <c r="J961">
        <v>77365</v>
      </c>
      <c r="K961">
        <v>2021</v>
      </c>
    </row>
    <row r="962" spans="1:11" x14ac:dyDescent="0.3">
      <c r="A962">
        <v>28</v>
      </c>
      <c r="B962" s="1" t="s">
        <v>68</v>
      </c>
      <c r="C962" s="1" t="s">
        <v>12</v>
      </c>
      <c r="D962">
        <v>648310</v>
      </c>
      <c r="E962" s="3">
        <v>795726</v>
      </c>
      <c r="F962">
        <v>80209</v>
      </c>
      <c r="G962">
        <v>74</v>
      </c>
      <c r="H962">
        <v>52885</v>
      </c>
      <c r="I962">
        <v>24578</v>
      </c>
      <c r="J962">
        <v>91415</v>
      </c>
      <c r="K962">
        <v>2021</v>
      </c>
    </row>
    <row r="963" spans="1:11" x14ac:dyDescent="0.3">
      <c r="A963">
        <v>29</v>
      </c>
      <c r="B963" s="1" t="s">
        <v>73</v>
      </c>
      <c r="C963" s="1" t="s">
        <v>47</v>
      </c>
      <c r="D963">
        <v>646070</v>
      </c>
      <c r="E963" s="3">
        <v>777061</v>
      </c>
      <c r="F963">
        <v>93279</v>
      </c>
      <c r="G963">
        <v>71</v>
      </c>
      <c r="H963">
        <v>96345</v>
      </c>
      <c r="I963">
        <v>22595</v>
      </c>
      <c r="J963">
        <v>84504</v>
      </c>
      <c r="K963">
        <v>2021</v>
      </c>
    </row>
    <row r="964" spans="1:11" x14ac:dyDescent="0.3">
      <c r="A964">
        <v>30</v>
      </c>
      <c r="B964" s="1" t="s">
        <v>60</v>
      </c>
      <c r="C964" s="1" t="s">
        <v>26</v>
      </c>
      <c r="D964">
        <v>643450</v>
      </c>
      <c r="E964" s="3">
        <v>482532</v>
      </c>
      <c r="F964">
        <v>67397</v>
      </c>
      <c r="G964">
        <v>65</v>
      </c>
      <c r="H964">
        <v>89069</v>
      </c>
      <c r="I964">
        <v>30198</v>
      </c>
      <c r="J964">
        <v>80870</v>
      </c>
      <c r="K964">
        <v>2021</v>
      </c>
    </row>
    <row r="965" spans="1:11" x14ac:dyDescent="0.3">
      <c r="A965">
        <v>31</v>
      </c>
      <c r="B965" s="1" t="s">
        <v>48</v>
      </c>
      <c r="C965" s="1" t="s">
        <v>26</v>
      </c>
      <c r="D965">
        <v>643140</v>
      </c>
      <c r="E965" s="3">
        <v>664560</v>
      </c>
      <c r="F965">
        <v>88861</v>
      </c>
      <c r="G965">
        <v>69</v>
      </c>
      <c r="H965">
        <v>87359</v>
      </c>
      <c r="I965">
        <v>23615</v>
      </c>
      <c r="J965">
        <v>59205</v>
      </c>
      <c r="K965">
        <v>2021</v>
      </c>
    </row>
    <row r="966" spans="1:11" x14ac:dyDescent="0.3">
      <c r="A966">
        <v>32</v>
      </c>
      <c r="B966" s="1" t="s">
        <v>38</v>
      </c>
      <c r="C966" s="1" t="s">
        <v>39</v>
      </c>
      <c r="D966">
        <v>637650</v>
      </c>
      <c r="E966" s="3">
        <v>968360</v>
      </c>
      <c r="F966">
        <v>86924</v>
      </c>
      <c r="G966">
        <v>77</v>
      </c>
      <c r="H966">
        <v>92703</v>
      </c>
      <c r="I966">
        <v>32509</v>
      </c>
      <c r="J966">
        <v>0</v>
      </c>
      <c r="K966">
        <v>2021</v>
      </c>
    </row>
    <row r="967" spans="1:11" x14ac:dyDescent="0.3">
      <c r="A967">
        <v>33</v>
      </c>
      <c r="B967" s="1" t="s">
        <v>87</v>
      </c>
      <c r="C967" s="1" t="s">
        <v>47</v>
      </c>
      <c r="D967">
        <v>637200</v>
      </c>
      <c r="E967" s="3">
        <v>535379</v>
      </c>
      <c r="F967">
        <v>68871</v>
      </c>
      <c r="G967">
        <v>64</v>
      </c>
      <c r="H967">
        <v>82807</v>
      </c>
      <c r="I967">
        <v>65755</v>
      </c>
      <c r="J967">
        <v>97451</v>
      </c>
      <c r="K967">
        <v>2021</v>
      </c>
    </row>
    <row r="968" spans="1:11" x14ac:dyDescent="0.3">
      <c r="A968">
        <v>34</v>
      </c>
      <c r="B968" s="1" t="s">
        <v>63</v>
      </c>
      <c r="C968" s="1" t="s">
        <v>47</v>
      </c>
      <c r="D968">
        <v>633090</v>
      </c>
      <c r="E968" s="3">
        <v>745049</v>
      </c>
      <c r="F968">
        <v>90955</v>
      </c>
      <c r="G968">
        <v>69</v>
      </c>
      <c r="H968">
        <v>65371</v>
      </c>
      <c r="I968">
        <v>19812</v>
      </c>
      <c r="J968">
        <v>96723</v>
      </c>
      <c r="K968">
        <v>2021</v>
      </c>
    </row>
    <row r="969" spans="1:11" x14ac:dyDescent="0.3">
      <c r="A969">
        <v>35</v>
      </c>
      <c r="B969" s="1" t="s">
        <v>30</v>
      </c>
      <c r="C969" s="1" t="s">
        <v>26</v>
      </c>
      <c r="D969">
        <v>633010</v>
      </c>
      <c r="E969" s="3">
        <v>587077</v>
      </c>
      <c r="F969">
        <v>80524</v>
      </c>
      <c r="G969">
        <v>67</v>
      </c>
      <c r="H969">
        <v>71835</v>
      </c>
      <c r="I969">
        <v>26166</v>
      </c>
      <c r="J969">
        <v>78662</v>
      </c>
      <c r="K969">
        <v>2021</v>
      </c>
    </row>
    <row r="970" spans="1:11" x14ac:dyDescent="0.3">
      <c r="A970">
        <v>36</v>
      </c>
      <c r="B970" s="1" t="s">
        <v>28</v>
      </c>
      <c r="C970" s="1" t="s">
        <v>26</v>
      </c>
      <c r="D970">
        <v>631680</v>
      </c>
      <c r="E970" s="3">
        <v>643272</v>
      </c>
      <c r="F970">
        <v>70778</v>
      </c>
      <c r="G970">
        <v>69</v>
      </c>
      <c r="H970">
        <v>81706</v>
      </c>
      <c r="I970">
        <v>17035</v>
      </c>
      <c r="J970">
        <v>83641</v>
      </c>
      <c r="K970">
        <v>2021</v>
      </c>
    </row>
    <row r="971" spans="1:11" x14ac:dyDescent="0.3">
      <c r="A971">
        <v>37</v>
      </c>
      <c r="B971" s="1" t="s">
        <v>83</v>
      </c>
      <c r="C971" s="1" t="s">
        <v>26</v>
      </c>
      <c r="D971">
        <v>630920</v>
      </c>
      <c r="E971" s="3">
        <v>509031</v>
      </c>
      <c r="F971">
        <v>79545</v>
      </c>
      <c r="G971">
        <v>68</v>
      </c>
      <c r="H971">
        <v>86310</v>
      </c>
      <c r="I971">
        <v>18242</v>
      </c>
      <c r="J971">
        <v>93593</v>
      </c>
      <c r="K971">
        <v>2021</v>
      </c>
    </row>
    <row r="972" spans="1:11" x14ac:dyDescent="0.3">
      <c r="A972">
        <v>38</v>
      </c>
      <c r="B972" s="1" t="s">
        <v>74</v>
      </c>
      <c r="C972" s="1" t="s">
        <v>12</v>
      </c>
      <c r="D972">
        <v>625540</v>
      </c>
      <c r="E972" s="3">
        <v>770947</v>
      </c>
      <c r="F972">
        <v>90851</v>
      </c>
      <c r="G972">
        <v>68</v>
      </c>
      <c r="H972">
        <v>66529</v>
      </c>
      <c r="I972">
        <v>10301</v>
      </c>
      <c r="J972">
        <v>86737</v>
      </c>
      <c r="K972">
        <v>2021</v>
      </c>
    </row>
    <row r="973" spans="1:11" x14ac:dyDescent="0.3">
      <c r="A973">
        <v>39</v>
      </c>
      <c r="B973" s="1" t="s">
        <v>85</v>
      </c>
      <c r="C973" s="1" t="s">
        <v>12</v>
      </c>
      <c r="D973">
        <v>622350</v>
      </c>
      <c r="E973" s="3">
        <v>786375</v>
      </c>
      <c r="F973">
        <v>65284</v>
      </c>
      <c r="G973">
        <v>74</v>
      </c>
      <c r="H973">
        <v>64801</v>
      </c>
      <c r="I973">
        <v>32932</v>
      </c>
      <c r="J973">
        <v>88900</v>
      </c>
      <c r="K973">
        <v>2021</v>
      </c>
    </row>
    <row r="974" spans="1:11" x14ac:dyDescent="0.3">
      <c r="A974">
        <v>40</v>
      </c>
      <c r="B974" s="1" t="s">
        <v>92</v>
      </c>
      <c r="C974" s="1" t="s">
        <v>12</v>
      </c>
      <c r="D974">
        <v>618880</v>
      </c>
      <c r="E974" s="3">
        <v>767446</v>
      </c>
      <c r="F974">
        <v>92027</v>
      </c>
      <c r="G974">
        <v>69</v>
      </c>
      <c r="H974">
        <v>89562</v>
      </c>
      <c r="I974">
        <v>21931</v>
      </c>
      <c r="J974">
        <v>51866</v>
      </c>
      <c r="K974">
        <v>2021</v>
      </c>
    </row>
    <row r="975" spans="1:11" x14ac:dyDescent="0.3">
      <c r="A975">
        <v>41</v>
      </c>
      <c r="B975" s="1" t="s">
        <v>40</v>
      </c>
      <c r="C975" s="1" t="s">
        <v>26</v>
      </c>
      <c r="D975">
        <v>617960</v>
      </c>
      <c r="E975" s="3">
        <v>741300</v>
      </c>
      <c r="F975">
        <v>83269</v>
      </c>
      <c r="G975">
        <v>70</v>
      </c>
      <c r="H975">
        <v>83302</v>
      </c>
      <c r="I975">
        <v>14688</v>
      </c>
      <c r="J975">
        <v>90243</v>
      </c>
      <c r="K975">
        <v>2021</v>
      </c>
    </row>
    <row r="976" spans="1:11" x14ac:dyDescent="0.3">
      <c r="A976">
        <v>42</v>
      </c>
      <c r="B976" s="1" t="s">
        <v>61</v>
      </c>
      <c r="C976" s="1" t="s">
        <v>62</v>
      </c>
      <c r="D976">
        <v>617880</v>
      </c>
      <c r="E976" s="3">
        <v>439232</v>
      </c>
      <c r="F976">
        <v>87610</v>
      </c>
      <c r="G976">
        <v>65</v>
      </c>
      <c r="H976">
        <v>100000</v>
      </c>
      <c r="I976">
        <v>72177</v>
      </c>
      <c r="J976">
        <v>50518</v>
      </c>
      <c r="K976">
        <v>2021</v>
      </c>
    </row>
    <row r="977" spans="1:11" x14ac:dyDescent="0.3">
      <c r="A977">
        <v>43</v>
      </c>
      <c r="B977" s="1" t="s">
        <v>42</v>
      </c>
      <c r="C977" s="1" t="s">
        <v>26</v>
      </c>
      <c r="D977">
        <v>617190</v>
      </c>
      <c r="E977" s="3">
        <v>685610</v>
      </c>
      <c r="F977">
        <v>80658</v>
      </c>
      <c r="G977">
        <v>70</v>
      </c>
      <c r="H977">
        <v>61143</v>
      </c>
      <c r="I977">
        <v>29391</v>
      </c>
      <c r="J977">
        <v>87288</v>
      </c>
      <c r="K977">
        <v>2021</v>
      </c>
    </row>
    <row r="978" spans="1:11" x14ac:dyDescent="0.3">
      <c r="A978">
        <v>44</v>
      </c>
      <c r="B978" s="1" t="s">
        <v>78</v>
      </c>
      <c r="C978" s="1" t="s">
        <v>47</v>
      </c>
      <c r="D978">
        <v>616610</v>
      </c>
      <c r="E978" s="3">
        <v>747651</v>
      </c>
      <c r="F978">
        <v>83732</v>
      </c>
      <c r="G978">
        <v>70</v>
      </c>
      <c r="H978">
        <v>77988</v>
      </c>
      <c r="I978">
        <v>14859</v>
      </c>
      <c r="J978">
        <v>76207</v>
      </c>
      <c r="K978">
        <v>2021</v>
      </c>
    </row>
    <row r="979" spans="1:11" x14ac:dyDescent="0.3">
      <c r="A979">
        <v>45</v>
      </c>
      <c r="B979" s="1" t="s">
        <v>72</v>
      </c>
      <c r="C979" s="1" t="s">
        <v>62</v>
      </c>
      <c r="D979">
        <v>615180</v>
      </c>
      <c r="E979" s="3">
        <v>702310</v>
      </c>
      <c r="F979">
        <v>94075</v>
      </c>
      <c r="G979">
        <v>65</v>
      </c>
      <c r="H979">
        <v>80011</v>
      </c>
      <c r="I979">
        <v>26360</v>
      </c>
      <c r="J979">
        <v>75943</v>
      </c>
      <c r="K979">
        <v>2021</v>
      </c>
    </row>
    <row r="980" spans="1:11" x14ac:dyDescent="0.3">
      <c r="A980">
        <v>46</v>
      </c>
      <c r="B980" s="1" t="s">
        <v>106</v>
      </c>
      <c r="C980" s="1" t="s">
        <v>47</v>
      </c>
      <c r="D980">
        <v>614000</v>
      </c>
      <c r="E980" s="3">
        <v>728045</v>
      </c>
      <c r="F980">
        <v>70976</v>
      </c>
      <c r="G980">
        <v>67</v>
      </c>
      <c r="H980">
        <v>78740</v>
      </c>
      <c r="I980">
        <v>8279</v>
      </c>
      <c r="J980">
        <v>99875</v>
      </c>
      <c r="K980">
        <v>2021</v>
      </c>
    </row>
    <row r="981" spans="1:11" x14ac:dyDescent="0.3">
      <c r="A981">
        <v>47</v>
      </c>
      <c r="B981" s="1" t="s">
        <v>56</v>
      </c>
      <c r="C981" s="1" t="s">
        <v>24</v>
      </c>
      <c r="D981">
        <v>610610</v>
      </c>
      <c r="E981" s="3">
        <v>834399</v>
      </c>
      <c r="F981">
        <v>73065</v>
      </c>
      <c r="G981">
        <v>67</v>
      </c>
      <c r="H981">
        <v>82487</v>
      </c>
      <c r="I981">
        <v>22176</v>
      </c>
      <c r="J981">
        <v>76311</v>
      </c>
      <c r="K981">
        <v>2021</v>
      </c>
    </row>
    <row r="982" spans="1:11" x14ac:dyDescent="0.3">
      <c r="A982">
        <v>48</v>
      </c>
      <c r="B982" s="1" t="s">
        <v>107</v>
      </c>
      <c r="C982" s="1" t="s">
        <v>47</v>
      </c>
      <c r="D982">
        <v>607790</v>
      </c>
      <c r="E982" s="3">
        <v>628846</v>
      </c>
      <c r="F982">
        <v>78804</v>
      </c>
      <c r="G982">
        <v>69</v>
      </c>
      <c r="H982">
        <v>67271</v>
      </c>
      <c r="I982">
        <v>34994</v>
      </c>
      <c r="J982">
        <v>87865</v>
      </c>
      <c r="K982">
        <v>2021</v>
      </c>
    </row>
    <row r="983" spans="1:11" x14ac:dyDescent="0.3">
      <c r="A983">
        <v>49</v>
      </c>
      <c r="B983" s="1" t="s">
        <v>59</v>
      </c>
      <c r="C983" s="1" t="s">
        <v>26</v>
      </c>
      <c r="D983">
        <v>606050</v>
      </c>
      <c r="E983" s="3">
        <v>482622</v>
      </c>
      <c r="F983">
        <v>57554</v>
      </c>
      <c r="G983">
        <v>66</v>
      </c>
      <c r="H983">
        <v>85967</v>
      </c>
      <c r="I983">
        <v>21440</v>
      </c>
      <c r="J983">
        <v>70717</v>
      </c>
      <c r="K983">
        <v>2021</v>
      </c>
    </row>
    <row r="984" spans="1:11" x14ac:dyDescent="0.3">
      <c r="A984">
        <v>50</v>
      </c>
      <c r="B984" s="1" t="s">
        <v>89</v>
      </c>
      <c r="C984" s="1" t="s">
        <v>90</v>
      </c>
      <c r="D984">
        <v>604900</v>
      </c>
      <c r="E984" s="3">
        <v>673044</v>
      </c>
      <c r="F984">
        <v>84964</v>
      </c>
      <c r="G984">
        <v>67</v>
      </c>
      <c r="H984">
        <v>82459</v>
      </c>
      <c r="I984">
        <v>28208</v>
      </c>
      <c r="J984">
        <v>82469</v>
      </c>
      <c r="K984">
        <v>2021</v>
      </c>
    </row>
    <row r="985" spans="1:11" x14ac:dyDescent="0.3">
      <c r="A985">
        <v>51</v>
      </c>
      <c r="B985" s="1" t="s">
        <v>109</v>
      </c>
      <c r="C985" s="1" t="s">
        <v>12</v>
      </c>
      <c r="D985">
        <v>603200</v>
      </c>
      <c r="E985" s="3">
        <v>734240</v>
      </c>
      <c r="F985">
        <v>89346</v>
      </c>
      <c r="G985">
        <v>67</v>
      </c>
      <c r="H985">
        <v>56563</v>
      </c>
      <c r="I985">
        <v>15203</v>
      </c>
      <c r="J985">
        <v>83724</v>
      </c>
      <c r="K985">
        <v>2021</v>
      </c>
    </row>
    <row r="986" spans="1:11" x14ac:dyDescent="0.3">
      <c r="A986">
        <v>52</v>
      </c>
      <c r="B986" s="1" t="s">
        <v>49</v>
      </c>
      <c r="C986" s="1" t="s">
        <v>26</v>
      </c>
      <c r="D986">
        <v>601240</v>
      </c>
      <c r="E986" s="3">
        <v>583025</v>
      </c>
      <c r="F986">
        <v>73847</v>
      </c>
      <c r="G986">
        <v>68</v>
      </c>
      <c r="H986">
        <v>77371</v>
      </c>
      <c r="I986">
        <v>18483</v>
      </c>
      <c r="J986">
        <v>88515</v>
      </c>
      <c r="K986">
        <v>2021</v>
      </c>
    </row>
    <row r="987" spans="1:11" x14ac:dyDescent="0.3">
      <c r="A987">
        <v>53</v>
      </c>
      <c r="B987" s="1" t="s">
        <v>124</v>
      </c>
      <c r="C987" s="1" t="s">
        <v>47</v>
      </c>
      <c r="D987">
        <v>599160</v>
      </c>
      <c r="E987" s="3">
        <v>742912</v>
      </c>
      <c r="F987">
        <v>92415</v>
      </c>
      <c r="G987">
        <v>68</v>
      </c>
      <c r="H987">
        <v>63424</v>
      </c>
      <c r="I987">
        <v>12290</v>
      </c>
      <c r="J987">
        <v>92633</v>
      </c>
      <c r="K987">
        <v>2021</v>
      </c>
    </row>
    <row r="988" spans="1:11" x14ac:dyDescent="0.3">
      <c r="A988">
        <v>54</v>
      </c>
      <c r="B988" s="1" t="s">
        <v>50</v>
      </c>
      <c r="C988" s="1" t="s">
        <v>39</v>
      </c>
      <c r="D988">
        <v>598470</v>
      </c>
      <c r="E988" s="3">
        <v>632450</v>
      </c>
      <c r="F988">
        <v>81664</v>
      </c>
      <c r="G988">
        <v>67</v>
      </c>
      <c r="H988">
        <v>85368</v>
      </c>
      <c r="I988">
        <v>69367</v>
      </c>
      <c r="J988">
        <v>94871</v>
      </c>
      <c r="K988">
        <v>2021</v>
      </c>
    </row>
    <row r="989" spans="1:11" x14ac:dyDescent="0.3">
      <c r="A989">
        <v>55</v>
      </c>
      <c r="B989" s="1" t="s">
        <v>75</v>
      </c>
      <c r="C989" s="1" t="s">
        <v>26</v>
      </c>
      <c r="D989">
        <v>597210</v>
      </c>
      <c r="E989" s="3">
        <v>396098</v>
      </c>
      <c r="F989">
        <v>77138</v>
      </c>
      <c r="G989">
        <v>68</v>
      </c>
      <c r="H989">
        <v>77172</v>
      </c>
      <c r="I989">
        <v>37092</v>
      </c>
      <c r="J989">
        <v>67838</v>
      </c>
      <c r="K989">
        <v>2021</v>
      </c>
    </row>
    <row r="990" spans="1:11" x14ac:dyDescent="0.3">
      <c r="A990">
        <v>56</v>
      </c>
      <c r="B990" s="1" t="s">
        <v>64</v>
      </c>
      <c r="C990" s="1" t="s">
        <v>55</v>
      </c>
      <c r="D990">
        <v>594050</v>
      </c>
      <c r="E990" s="3">
        <v>793438</v>
      </c>
      <c r="F990">
        <v>80975</v>
      </c>
      <c r="G990">
        <v>75</v>
      </c>
      <c r="H990">
        <v>70362</v>
      </c>
      <c r="I990">
        <v>3611</v>
      </c>
      <c r="J990">
        <v>64840</v>
      </c>
      <c r="K990">
        <v>2021</v>
      </c>
    </row>
    <row r="991" spans="1:11" x14ac:dyDescent="0.3">
      <c r="A991">
        <v>57</v>
      </c>
      <c r="B991" s="1" t="s">
        <v>45</v>
      </c>
      <c r="C991" s="1" t="s">
        <v>26</v>
      </c>
      <c r="D991">
        <v>592930</v>
      </c>
      <c r="E991" s="3">
        <v>663769</v>
      </c>
      <c r="F991">
        <v>83585</v>
      </c>
      <c r="G991">
        <v>69</v>
      </c>
      <c r="H991">
        <v>75926</v>
      </c>
      <c r="I991">
        <v>12830</v>
      </c>
      <c r="J991">
        <v>87708</v>
      </c>
      <c r="K991">
        <v>2021</v>
      </c>
    </row>
    <row r="992" spans="1:11" x14ac:dyDescent="0.3">
      <c r="A992">
        <v>58</v>
      </c>
      <c r="B992" s="1" t="s">
        <v>108</v>
      </c>
      <c r="C992" s="1" t="s">
        <v>12</v>
      </c>
      <c r="D992">
        <v>592900</v>
      </c>
      <c r="E992" s="3">
        <v>755476</v>
      </c>
      <c r="F992">
        <v>80111</v>
      </c>
      <c r="G992">
        <v>73</v>
      </c>
      <c r="H992">
        <v>86673</v>
      </c>
      <c r="I992">
        <v>5274</v>
      </c>
      <c r="J992">
        <v>93933</v>
      </c>
      <c r="K992">
        <v>2021</v>
      </c>
    </row>
    <row r="993" spans="1:11" x14ac:dyDescent="0.3">
      <c r="A993">
        <v>59</v>
      </c>
      <c r="B993" s="1" t="s">
        <v>125</v>
      </c>
      <c r="C993" s="1" t="s">
        <v>26</v>
      </c>
      <c r="D993">
        <v>591920</v>
      </c>
      <c r="E993" s="3">
        <v>401677</v>
      </c>
      <c r="F993">
        <v>67134</v>
      </c>
      <c r="G993">
        <v>67</v>
      </c>
      <c r="H993">
        <v>80778</v>
      </c>
      <c r="I993">
        <v>44490</v>
      </c>
      <c r="J993">
        <v>84769</v>
      </c>
      <c r="K993">
        <v>2021</v>
      </c>
    </row>
    <row r="994" spans="1:11" x14ac:dyDescent="0.3">
      <c r="A994">
        <v>60</v>
      </c>
      <c r="B994" s="1" t="s">
        <v>80</v>
      </c>
      <c r="C994" s="1" t="s">
        <v>47</v>
      </c>
      <c r="D994">
        <v>588170</v>
      </c>
      <c r="E994" s="3">
        <v>714768</v>
      </c>
      <c r="F994">
        <v>88595</v>
      </c>
      <c r="G994">
        <v>71</v>
      </c>
      <c r="H994">
        <v>63212</v>
      </c>
      <c r="I994">
        <v>20546</v>
      </c>
      <c r="J994">
        <v>100000</v>
      </c>
      <c r="K994">
        <v>2021</v>
      </c>
    </row>
    <row r="995" spans="1:11" x14ac:dyDescent="0.3">
      <c r="A995">
        <v>61</v>
      </c>
      <c r="B995" s="1" t="s">
        <v>110</v>
      </c>
      <c r="C995" s="1" t="s">
        <v>39</v>
      </c>
      <c r="D995">
        <v>588020</v>
      </c>
      <c r="E995" s="3">
        <v>486958</v>
      </c>
      <c r="F995">
        <v>70594</v>
      </c>
      <c r="G995">
        <v>62</v>
      </c>
      <c r="H995">
        <v>90970</v>
      </c>
      <c r="I995">
        <v>23058</v>
      </c>
      <c r="J995">
        <v>76956</v>
      </c>
      <c r="K995">
        <v>2021</v>
      </c>
    </row>
    <row r="996" spans="1:11" x14ac:dyDescent="0.3">
      <c r="A996">
        <v>62</v>
      </c>
      <c r="B996" s="1" t="s">
        <v>65</v>
      </c>
      <c r="C996" s="1" t="s">
        <v>55</v>
      </c>
      <c r="D996">
        <v>584550</v>
      </c>
      <c r="E996" s="3">
        <v>801277</v>
      </c>
      <c r="F996">
        <v>64663</v>
      </c>
      <c r="G996">
        <v>74</v>
      </c>
      <c r="H996">
        <v>49333</v>
      </c>
      <c r="I996">
        <v>24698</v>
      </c>
      <c r="J996">
        <v>75243</v>
      </c>
      <c r="K996">
        <v>2021</v>
      </c>
    </row>
    <row r="997" spans="1:11" x14ac:dyDescent="0.3">
      <c r="A997">
        <v>63</v>
      </c>
      <c r="B997" s="1" t="s">
        <v>76</v>
      </c>
      <c r="C997" s="1" t="s">
        <v>26</v>
      </c>
      <c r="D997">
        <v>583960</v>
      </c>
      <c r="E997" s="3">
        <v>563345</v>
      </c>
      <c r="F997">
        <v>71048</v>
      </c>
      <c r="G997">
        <v>68</v>
      </c>
      <c r="H997">
        <v>74818</v>
      </c>
      <c r="I997">
        <v>16156</v>
      </c>
      <c r="J997">
        <v>94377</v>
      </c>
      <c r="K997">
        <v>2021</v>
      </c>
    </row>
    <row r="998" spans="1:11" x14ac:dyDescent="0.3">
      <c r="A998">
        <v>64</v>
      </c>
      <c r="B998" s="1" t="s">
        <v>116</v>
      </c>
      <c r="C998" s="1" t="s">
        <v>47</v>
      </c>
      <c r="D998">
        <v>581310</v>
      </c>
      <c r="E998" s="3">
        <v>589613</v>
      </c>
      <c r="F998">
        <v>78370</v>
      </c>
      <c r="G998">
        <v>68</v>
      </c>
      <c r="H998">
        <v>55168</v>
      </c>
      <c r="I998">
        <v>48291</v>
      </c>
      <c r="J998">
        <v>99052</v>
      </c>
      <c r="K998">
        <v>2021</v>
      </c>
    </row>
    <row r="999" spans="1:11" x14ac:dyDescent="0.3">
      <c r="A999">
        <v>65</v>
      </c>
      <c r="B999" s="1" t="s">
        <v>70</v>
      </c>
      <c r="C999" s="1" t="s">
        <v>47</v>
      </c>
      <c r="D999">
        <v>576640</v>
      </c>
      <c r="E999" s="3">
        <v>562459</v>
      </c>
      <c r="F999">
        <v>75754</v>
      </c>
      <c r="G999">
        <v>66</v>
      </c>
      <c r="H999">
        <v>74839</v>
      </c>
      <c r="I999">
        <v>25247</v>
      </c>
      <c r="J999">
        <v>97536</v>
      </c>
      <c r="K999">
        <v>2021</v>
      </c>
    </row>
    <row r="1000" spans="1:11" x14ac:dyDescent="0.3">
      <c r="A1000">
        <v>66</v>
      </c>
      <c r="B1000" s="1" t="s">
        <v>66</v>
      </c>
      <c r="C1000" s="1" t="s">
        <v>26</v>
      </c>
      <c r="D1000">
        <v>576400</v>
      </c>
      <c r="E1000" s="3">
        <v>534315</v>
      </c>
      <c r="F1000">
        <v>68785</v>
      </c>
      <c r="G1000">
        <v>69</v>
      </c>
      <c r="H1000">
        <v>78255</v>
      </c>
      <c r="I1000">
        <v>19824</v>
      </c>
      <c r="J1000">
        <v>88705</v>
      </c>
      <c r="K1000">
        <v>2021</v>
      </c>
    </row>
    <row r="1001" spans="1:11" x14ac:dyDescent="0.3">
      <c r="A1001">
        <v>67</v>
      </c>
      <c r="B1001" s="1" t="s">
        <v>96</v>
      </c>
      <c r="C1001" s="1" t="s">
        <v>62</v>
      </c>
      <c r="D1001">
        <v>574360</v>
      </c>
      <c r="E1001" s="3">
        <v>379776</v>
      </c>
      <c r="F1001">
        <v>82789</v>
      </c>
      <c r="G1001">
        <v>64</v>
      </c>
      <c r="H1001">
        <v>93950</v>
      </c>
      <c r="I1001">
        <v>49109</v>
      </c>
      <c r="J1001">
        <v>96314</v>
      </c>
      <c r="K1001">
        <v>2021</v>
      </c>
    </row>
    <row r="1002" spans="1:11" x14ac:dyDescent="0.3">
      <c r="A1002">
        <v>68</v>
      </c>
      <c r="B1002" s="1" t="s">
        <v>122</v>
      </c>
      <c r="C1002" s="1" t="s">
        <v>24</v>
      </c>
      <c r="D1002">
        <v>572260</v>
      </c>
      <c r="E1002" s="3">
        <v>727059</v>
      </c>
      <c r="F1002">
        <v>69218</v>
      </c>
      <c r="G1002">
        <v>73</v>
      </c>
      <c r="H1002">
        <v>33994</v>
      </c>
      <c r="I1002">
        <v>0</v>
      </c>
      <c r="J1002">
        <v>86448</v>
      </c>
      <c r="K1002">
        <v>2021</v>
      </c>
    </row>
    <row r="1003" spans="1:11" x14ac:dyDescent="0.3">
      <c r="A1003">
        <v>69</v>
      </c>
      <c r="B1003" s="1" t="s">
        <v>69</v>
      </c>
      <c r="C1003" s="1" t="s">
        <v>26</v>
      </c>
      <c r="D1003">
        <v>571590</v>
      </c>
      <c r="E1003" s="3">
        <v>480988</v>
      </c>
      <c r="F1003">
        <v>66687</v>
      </c>
      <c r="G1003">
        <v>64</v>
      </c>
      <c r="H1003">
        <v>83771</v>
      </c>
      <c r="I1003">
        <v>25411</v>
      </c>
      <c r="J1003">
        <v>88297</v>
      </c>
      <c r="K1003">
        <v>2021</v>
      </c>
    </row>
    <row r="1004" spans="1:11" x14ac:dyDescent="0.3">
      <c r="A1004">
        <v>70</v>
      </c>
      <c r="B1004" s="1" t="s">
        <v>120</v>
      </c>
      <c r="C1004" s="1" t="s">
        <v>55</v>
      </c>
      <c r="D1004">
        <v>567720</v>
      </c>
      <c r="E1004" s="3">
        <v>551731</v>
      </c>
      <c r="F1004">
        <v>90820</v>
      </c>
      <c r="G1004">
        <v>63</v>
      </c>
      <c r="H1004">
        <v>55385</v>
      </c>
      <c r="I1004">
        <v>48652</v>
      </c>
      <c r="J1004">
        <v>90335</v>
      </c>
      <c r="K1004">
        <v>2021</v>
      </c>
    </row>
    <row r="1005" spans="1:11" x14ac:dyDescent="0.3">
      <c r="A1005">
        <v>71</v>
      </c>
      <c r="B1005" s="1" t="s">
        <v>71</v>
      </c>
      <c r="C1005" s="1" t="s">
        <v>26</v>
      </c>
      <c r="D1005">
        <v>565260</v>
      </c>
      <c r="E1005" s="3">
        <v>561302</v>
      </c>
      <c r="F1005">
        <v>82782</v>
      </c>
      <c r="G1005">
        <v>66</v>
      </c>
      <c r="H1005">
        <v>84076</v>
      </c>
      <c r="I1005">
        <v>38118</v>
      </c>
      <c r="J1005">
        <v>93275</v>
      </c>
      <c r="K1005">
        <v>2021</v>
      </c>
    </row>
    <row r="1006" spans="1:11" x14ac:dyDescent="0.3">
      <c r="A1006">
        <v>72</v>
      </c>
      <c r="B1006" s="1" t="s">
        <v>102</v>
      </c>
      <c r="C1006" s="1" t="s">
        <v>47</v>
      </c>
      <c r="D1006">
        <v>558050</v>
      </c>
      <c r="E1006" s="3">
        <v>659448</v>
      </c>
      <c r="F1006">
        <v>76034</v>
      </c>
      <c r="G1006">
        <v>69</v>
      </c>
      <c r="H1006">
        <v>55432</v>
      </c>
      <c r="I1006">
        <v>30606</v>
      </c>
      <c r="J1006">
        <v>85181</v>
      </c>
      <c r="K1006">
        <v>2021</v>
      </c>
    </row>
    <row r="1007" spans="1:11" x14ac:dyDescent="0.3">
      <c r="A1007">
        <v>73</v>
      </c>
      <c r="B1007" s="1" t="s">
        <v>118</v>
      </c>
      <c r="C1007" s="1" t="s">
        <v>26</v>
      </c>
      <c r="D1007">
        <v>554510</v>
      </c>
      <c r="E1007" s="3">
        <v>631987</v>
      </c>
      <c r="F1007">
        <v>75007</v>
      </c>
      <c r="G1007">
        <v>66</v>
      </c>
      <c r="H1007">
        <v>81207</v>
      </c>
      <c r="I1007">
        <v>18665</v>
      </c>
      <c r="J1007">
        <v>73737</v>
      </c>
      <c r="K1007">
        <v>2021</v>
      </c>
    </row>
    <row r="1008" spans="1:11" x14ac:dyDescent="0.3">
      <c r="A1008">
        <v>75</v>
      </c>
      <c r="B1008" s="1" t="s">
        <v>77</v>
      </c>
      <c r="C1008" s="1" t="s">
        <v>62</v>
      </c>
      <c r="D1008">
        <v>553350</v>
      </c>
      <c r="E1008" s="3">
        <v>642137</v>
      </c>
      <c r="F1008">
        <v>85914</v>
      </c>
      <c r="G1008">
        <v>66</v>
      </c>
      <c r="H1008">
        <v>45531</v>
      </c>
      <c r="I1008">
        <v>12996</v>
      </c>
      <c r="J1008">
        <v>63534</v>
      </c>
      <c r="K1008">
        <v>2021</v>
      </c>
    </row>
    <row r="1009" spans="1:11" x14ac:dyDescent="0.3">
      <c r="A1009">
        <v>76</v>
      </c>
      <c r="B1009" s="1" t="s">
        <v>82</v>
      </c>
      <c r="C1009" s="1" t="s">
        <v>62</v>
      </c>
      <c r="D1009">
        <v>547720</v>
      </c>
      <c r="E1009" s="3">
        <v>709090</v>
      </c>
      <c r="F1009">
        <v>84612</v>
      </c>
      <c r="G1009">
        <v>65</v>
      </c>
      <c r="H1009">
        <v>57157</v>
      </c>
      <c r="I1009">
        <v>21297</v>
      </c>
      <c r="J1009">
        <v>88952</v>
      </c>
      <c r="K1009">
        <v>2021</v>
      </c>
    </row>
    <row r="1010" spans="1:11" x14ac:dyDescent="0.3">
      <c r="A1010">
        <v>77</v>
      </c>
      <c r="B1010" s="1" t="s">
        <v>185</v>
      </c>
      <c r="C1010" s="1" t="s">
        <v>55</v>
      </c>
      <c r="D1010">
        <v>547670</v>
      </c>
      <c r="E1010" s="3">
        <v>871040</v>
      </c>
      <c r="F1010">
        <v>71719</v>
      </c>
      <c r="G1010">
        <v>77</v>
      </c>
      <c r="H1010">
        <v>56946</v>
      </c>
      <c r="I1010">
        <v>42846</v>
      </c>
      <c r="J1010">
        <v>37404</v>
      </c>
      <c r="K1010">
        <v>2021</v>
      </c>
    </row>
    <row r="1011" spans="1:11" x14ac:dyDescent="0.3">
      <c r="A1011">
        <v>78</v>
      </c>
      <c r="B1011" s="1" t="s">
        <v>126</v>
      </c>
      <c r="C1011" s="1" t="s">
        <v>62</v>
      </c>
      <c r="D1011">
        <v>546620</v>
      </c>
      <c r="E1011" s="3">
        <v>290437</v>
      </c>
      <c r="F1011">
        <v>76318</v>
      </c>
      <c r="G1011">
        <v>64</v>
      </c>
      <c r="H1011">
        <v>76524</v>
      </c>
      <c r="I1011">
        <v>28008</v>
      </c>
      <c r="J1011">
        <v>54898</v>
      </c>
      <c r="K1011">
        <v>2021</v>
      </c>
    </row>
    <row r="1012" spans="1:11" x14ac:dyDescent="0.3">
      <c r="A1012">
        <v>79</v>
      </c>
      <c r="B1012" s="1" t="s">
        <v>94</v>
      </c>
      <c r="C1012" s="1" t="s">
        <v>39</v>
      </c>
      <c r="D1012">
        <v>541080</v>
      </c>
      <c r="E1012" s="3">
        <v>466518</v>
      </c>
      <c r="F1012">
        <v>74449</v>
      </c>
      <c r="G1012">
        <v>68</v>
      </c>
      <c r="H1012">
        <v>94810</v>
      </c>
      <c r="I1012">
        <v>22965</v>
      </c>
      <c r="J1012">
        <v>83330</v>
      </c>
      <c r="K1012">
        <v>2021</v>
      </c>
    </row>
    <row r="1013" spans="1:11" x14ac:dyDescent="0.3">
      <c r="A1013">
        <v>80</v>
      </c>
      <c r="B1013" s="1" t="s">
        <v>81</v>
      </c>
      <c r="C1013" s="1" t="s">
        <v>24</v>
      </c>
      <c r="D1013">
        <v>541030</v>
      </c>
      <c r="E1013" s="3">
        <v>596054</v>
      </c>
      <c r="F1013">
        <v>70026</v>
      </c>
      <c r="G1013">
        <v>62</v>
      </c>
      <c r="H1013">
        <v>66168</v>
      </c>
      <c r="I1013">
        <v>24287</v>
      </c>
      <c r="J1013">
        <v>68190</v>
      </c>
      <c r="K1013">
        <v>2021</v>
      </c>
    </row>
    <row r="1014" spans="1:11" x14ac:dyDescent="0.3">
      <c r="A1014">
        <v>81</v>
      </c>
      <c r="B1014" s="1" t="s">
        <v>79</v>
      </c>
      <c r="C1014" s="1" t="s">
        <v>39</v>
      </c>
      <c r="D1014">
        <v>538430</v>
      </c>
      <c r="E1014" s="3">
        <v>718950</v>
      </c>
      <c r="F1014">
        <v>68016</v>
      </c>
      <c r="G1014">
        <v>67</v>
      </c>
      <c r="H1014">
        <v>87168</v>
      </c>
      <c r="I1014">
        <v>49831</v>
      </c>
      <c r="J1014">
        <v>88332</v>
      </c>
      <c r="K1014">
        <v>2021</v>
      </c>
    </row>
    <row r="1015" spans="1:11" x14ac:dyDescent="0.3">
      <c r="A1015">
        <v>82</v>
      </c>
      <c r="B1015" s="1" t="s">
        <v>93</v>
      </c>
      <c r="C1015" s="1" t="s">
        <v>39</v>
      </c>
      <c r="D1015">
        <v>534450</v>
      </c>
      <c r="E1015" s="3">
        <v>544669</v>
      </c>
      <c r="F1015">
        <v>67036</v>
      </c>
      <c r="G1015">
        <v>62</v>
      </c>
      <c r="H1015">
        <v>83471</v>
      </c>
      <c r="I1015">
        <v>100000</v>
      </c>
      <c r="J1015">
        <v>91599</v>
      </c>
      <c r="K1015">
        <v>2021</v>
      </c>
    </row>
    <row r="1016" spans="1:11" x14ac:dyDescent="0.3">
      <c r="A1016">
        <v>83</v>
      </c>
      <c r="B1016" s="1" t="s">
        <v>159</v>
      </c>
      <c r="C1016" s="1" t="s">
        <v>90</v>
      </c>
      <c r="D1016">
        <v>534170</v>
      </c>
      <c r="E1016" s="3">
        <v>295714</v>
      </c>
      <c r="F1016">
        <v>33417</v>
      </c>
      <c r="G1016">
        <v>58</v>
      </c>
      <c r="H1016">
        <v>53194</v>
      </c>
      <c r="I1016">
        <v>26589</v>
      </c>
      <c r="J1016">
        <v>77295</v>
      </c>
      <c r="K1016">
        <v>2021</v>
      </c>
    </row>
    <row r="1017" spans="1:11" x14ac:dyDescent="0.3">
      <c r="A1017">
        <v>84</v>
      </c>
      <c r="B1017" s="1" t="s">
        <v>104</v>
      </c>
      <c r="C1017" s="1" t="s">
        <v>55</v>
      </c>
      <c r="D1017">
        <v>533910</v>
      </c>
      <c r="E1017" s="3">
        <v>606207</v>
      </c>
      <c r="F1017">
        <v>66924</v>
      </c>
      <c r="G1017">
        <v>70</v>
      </c>
      <c r="H1017">
        <v>88810</v>
      </c>
      <c r="I1017">
        <v>17144</v>
      </c>
      <c r="J1017">
        <v>78545</v>
      </c>
      <c r="K1017">
        <v>2021</v>
      </c>
    </row>
    <row r="1018" spans="1:11" x14ac:dyDescent="0.3">
      <c r="A1018">
        <v>85</v>
      </c>
      <c r="B1018" s="1" t="s">
        <v>171</v>
      </c>
      <c r="C1018" s="1" t="s">
        <v>90</v>
      </c>
      <c r="D1018">
        <v>530600</v>
      </c>
      <c r="E1018" s="3">
        <v>382295</v>
      </c>
      <c r="F1018">
        <v>34881</v>
      </c>
      <c r="G1018">
        <v>50</v>
      </c>
      <c r="H1018">
        <v>61136</v>
      </c>
      <c r="I1018">
        <v>32742</v>
      </c>
      <c r="J1018">
        <v>83103</v>
      </c>
      <c r="K1018">
        <v>2021</v>
      </c>
    </row>
    <row r="1019" spans="1:11" x14ac:dyDescent="0.3">
      <c r="A1019">
        <v>86</v>
      </c>
      <c r="B1019" s="1" t="s">
        <v>147</v>
      </c>
      <c r="C1019" s="1" t="s">
        <v>62</v>
      </c>
      <c r="D1019">
        <v>528260</v>
      </c>
      <c r="E1019" s="3">
        <v>569131</v>
      </c>
      <c r="F1019">
        <v>64658</v>
      </c>
      <c r="G1019">
        <v>67</v>
      </c>
      <c r="H1019">
        <v>75390</v>
      </c>
      <c r="I1019">
        <v>14524</v>
      </c>
      <c r="J1019">
        <v>63853</v>
      </c>
      <c r="K1019">
        <v>2021</v>
      </c>
    </row>
    <row r="1020" spans="1:11" x14ac:dyDescent="0.3">
      <c r="A1020">
        <v>87</v>
      </c>
      <c r="B1020" s="1" t="s">
        <v>141</v>
      </c>
      <c r="C1020" s="1" t="s">
        <v>99</v>
      </c>
      <c r="D1020">
        <v>526890</v>
      </c>
      <c r="E1020" s="3">
        <v>296276</v>
      </c>
      <c r="F1020">
        <v>59919</v>
      </c>
      <c r="G1020">
        <v>64</v>
      </c>
      <c r="H1020">
        <v>68106</v>
      </c>
      <c r="I1020">
        <v>53051</v>
      </c>
      <c r="J1020">
        <v>75292</v>
      </c>
      <c r="K1020">
        <v>2021</v>
      </c>
    </row>
    <row r="1021" spans="1:11" x14ac:dyDescent="0.3">
      <c r="A1021">
        <v>88</v>
      </c>
      <c r="B1021" s="1" t="s">
        <v>154</v>
      </c>
      <c r="C1021" s="1" t="s">
        <v>47</v>
      </c>
      <c r="D1021">
        <v>526550</v>
      </c>
      <c r="E1021" s="3">
        <v>674535</v>
      </c>
      <c r="F1021">
        <v>89975</v>
      </c>
      <c r="G1021">
        <v>67</v>
      </c>
      <c r="H1021">
        <v>69022</v>
      </c>
      <c r="I1021">
        <v>23100</v>
      </c>
      <c r="J1021">
        <v>99157</v>
      </c>
      <c r="K1021">
        <v>2021</v>
      </c>
    </row>
    <row r="1022" spans="1:11" x14ac:dyDescent="0.3">
      <c r="A1022">
        <v>89</v>
      </c>
      <c r="B1022" s="1" t="s">
        <v>190</v>
      </c>
      <c r="C1022" s="1" t="s">
        <v>55</v>
      </c>
      <c r="D1022">
        <v>519760</v>
      </c>
      <c r="E1022" s="3">
        <v>636701</v>
      </c>
      <c r="F1022">
        <v>86590</v>
      </c>
      <c r="G1022">
        <v>71</v>
      </c>
      <c r="H1022">
        <v>80256</v>
      </c>
      <c r="I1022">
        <v>37622</v>
      </c>
      <c r="J1022">
        <v>86623</v>
      </c>
      <c r="K1022">
        <v>2021</v>
      </c>
    </row>
    <row r="1023" spans="1:11" x14ac:dyDescent="0.3">
      <c r="A1023">
        <v>90</v>
      </c>
      <c r="B1023" s="1" t="s">
        <v>100</v>
      </c>
      <c r="C1023" s="1" t="s">
        <v>62</v>
      </c>
      <c r="D1023">
        <v>517080</v>
      </c>
      <c r="E1023" s="3">
        <v>585365</v>
      </c>
      <c r="F1023">
        <v>71746</v>
      </c>
      <c r="G1023">
        <v>66</v>
      </c>
      <c r="H1023">
        <v>73492</v>
      </c>
      <c r="I1023">
        <v>7907</v>
      </c>
      <c r="J1023">
        <v>49513</v>
      </c>
      <c r="K1023">
        <v>2021</v>
      </c>
    </row>
    <row r="1024" spans="1:11" x14ac:dyDescent="0.3">
      <c r="A1024">
        <v>91</v>
      </c>
      <c r="B1024" s="1" t="s">
        <v>153</v>
      </c>
      <c r="C1024" s="1" t="s">
        <v>90</v>
      </c>
      <c r="D1024">
        <v>514180</v>
      </c>
      <c r="E1024" s="3">
        <v>310058</v>
      </c>
      <c r="F1024">
        <v>47471</v>
      </c>
      <c r="G1024">
        <v>54</v>
      </c>
      <c r="H1024">
        <v>59393</v>
      </c>
      <c r="I1024">
        <v>37820</v>
      </c>
      <c r="J1024">
        <v>89303</v>
      </c>
      <c r="K1024">
        <v>2021</v>
      </c>
    </row>
    <row r="1025" spans="1:11" x14ac:dyDescent="0.3">
      <c r="A1025">
        <v>92</v>
      </c>
      <c r="B1025" s="1" t="s">
        <v>162</v>
      </c>
      <c r="C1025" s="1" t="s">
        <v>90</v>
      </c>
      <c r="D1025">
        <v>513180</v>
      </c>
      <c r="E1025" s="3">
        <v>295906</v>
      </c>
      <c r="F1025">
        <v>47591</v>
      </c>
      <c r="G1025">
        <v>60</v>
      </c>
      <c r="H1025">
        <v>53276</v>
      </c>
      <c r="I1025">
        <v>29185</v>
      </c>
      <c r="J1025">
        <v>83836</v>
      </c>
      <c r="K1025">
        <v>2021</v>
      </c>
    </row>
    <row r="1026" spans="1:11" x14ac:dyDescent="0.3">
      <c r="A1026">
        <v>93</v>
      </c>
      <c r="B1026" s="1" t="s">
        <v>115</v>
      </c>
      <c r="C1026" s="1" t="s">
        <v>47</v>
      </c>
      <c r="D1026">
        <v>511740</v>
      </c>
      <c r="E1026" s="3">
        <v>575740</v>
      </c>
      <c r="F1026">
        <v>45126</v>
      </c>
      <c r="G1026">
        <v>69</v>
      </c>
      <c r="H1026">
        <v>68576</v>
      </c>
      <c r="I1026">
        <v>31123</v>
      </c>
      <c r="J1026">
        <v>95529</v>
      </c>
      <c r="K1026">
        <v>2021</v>
      </c>
    </row>
    <row r="1027" spans="1:11" x14ac:dyDescent="0.3">
      <c r="A1027">
        <v>94</v>
      </c>
      <c r="B1027" s="1" t="s">
        <v>191</v>
      </c>
      <c r="C1027" s="1" t="s">
        <v>47</v>
      </c>
      <c r="D1027">
        <v>510120</v>
      </c>
      <c r="E1027" s="3">
        <v>610203</v>
      </c>
      <c r="F1027">
        <v>65815</v>
      </c>
      <c r="G1027">
        <v>65</v>
      </c>
      <c r="H1027">
        <v>62789</v>
      </c>
      <c r="I1027">
        <v>39250</v>
      </c>
      <c r="J1027">
        <v>96015</v>
      </c>
      <c r="K1027">
        <v>2021</v>
      </c>
    </row>
    <row r="1028" spans="1:11" x14ac:dyDescent="0.3">
      <c r="A1028">
        <v>95</v>
      </c>
      <c r="B1028" s="1" t="s">
        <v>134</v>
      </c>
      <c r="C1028" s="1" t="s">
        <v>90</v>
      </c>
      <c r="D1028">
        <v>508840</v>
      </c>
      <c r="E1028" s="3">
        <v>388112</v>
      </c>
      <c r="F1028">
        <v>50767</v>
      </c>
      <c r="G1028">
        <v>58</v>
      </c>
      <c r="H1028">
        <v>72191</v>
      </c>
      <c r="I1028">
        <v>49597</v>
      </c>
      <c r="J1028">
        <v>89369</v>
      </c>
      <c r="K1028">
        <v>2021</v>
      </c>
    </row>
    <row r="1029" spans="1:11" x14ac:dyDescent="0.3">
      <c r="A1029">
        <v>96</v>
      </c>
      <c r="B1029" s="1" t="s">
        <v>164</v>
      </c>
      <c r="C1029" s="1" t="s">
        <v>90</v>
      </c>
      <c r="D1029">
        <v>507410</v>
      </c>
      <c r="E1029" s="3">
        <v>92251</v>
      </c>
      <c r="F1029">
        <v>34312</v>
      </c>
      <c r="G1029">
        <v>54</v>
      </c>
      <c r="H1029">
        <v>72126</v>
      </c>
      <c r="I1029">
        <v>36953</v>
      </c>
      <c r="J1029">
        <v>71215</v>
      </c>
      <c r="K1029">
        <v>2021</v>
      </c>
    </row>
    <row r="1030" spans="1:11" x14ac:dyDescent="0.3">
      <c r="A1030">
        <v>97</v>
      </c>
      <c r="B1030" s="1" t="s">
        <v>88</v>
      </c>
      <c r="C1030" s="1" t="s">
        <v>62</v>
      </c>
      <c r="D1030">
        <v>506640</v>
      </c>
      <c r="E1030" s="3">
        <v>597458</v>
      </c>
      <c r="F1030">
        <v>99988</v>
      </c>
      <c r="G1030">
        <v>62</v>
      </c>
      <c r="H1030">
        <v>84118</v>
      </c>
      <c r="I1030">
        <v>67612</v>
      </c>
      <c r="J1030">
        <v>94017</v>
      </c>
      <c r="K1030">
        <v>2021</v>
      </c>
    </row>
    <row r="1031" spans="1:11" x14ac:dyDescent="0.3">
      <c r="A1031">
        <v>98</v>
      </c>
      <c r="B1031" s="1" t="s">
        <v>189</v>
      </c>
      <c r="C1031" s="1" t="s">
        <v>90</v>
      </c>
      <c r="D1031">
        <v>505100</v>
      </c>
      <c r="E1031" s="3">
        <v>209648</v>
      </c>
      <c r="F1031">
        <v>43630</v>
      </c>
      <c r="G1031">
        <v>55</v>
      </c>
      <c r="H1031">
        <v>53587</v>
      </c>
      <c r="I1031">
        <v>85851</v>
      </c>
      <c r="J1031">
        <v>77446</v>
      </c>
      <c r="K1031">
        <v>2021</v>
      </c>
    </row>
    <row r="1032" spans="1:11" x14ac:dyDescent="0.3">
      <c r="A1032">
        <v>99</v>
      </c>
      <c r="B1032" s="1" t="s">
        <v>175</v>
      </c>
      <c r="C1032" s="1" t="s">
        <v>90</v>
      </c>
      <c r="D1032">
        <v>504520</v>
      </c>
      <c r="E1032" s="3">
        <v>289676</v>
      </c>
      <c r="F1032">
        <v>4981</v>
      </c>
      <c r="G1032">
        <v>55</v>
      </c>
      <c r="H1032">
        <v>63859</v>
      </c>
      <c r="I1032">
        <v>30655</v>
      </c>
      <c r="J1032">
        <v>67503</v>
      </c>
      <c r="K1032">
        <v>2021</v>
      </c>
    </row>
    <row r="1033" spans="1:11" x14ac:dyDescent="0.3">
      <c r="A1033">
        <v>100</v>
      </c>
      <c r="B1033" s="1" t="s">
        <v>119</v>
      </c>
      <c r="C1033" s="1" t="s">
        <v>55</v>
      </c>
      <c r="D1033">
        <v>503000</v>
      </c>
      <c r="E1033" s="3">
        <v>461369</v>
      </c>
      <c r="F1033">
        <v>51001</v>
      </c>
      <c r="G1033">
        <v>59</v>
      </c>
      <c r="H1033">
        <v>89789</v>
      </c>
      <c r="I1033">
        <v>49571</v>
      </c>
      <c r="J1033">
        <v>67209</v>
      </c>
      <c r="K1033">
        <v>2021</v>
      </c>
    </row>
    <row r="1034" spans="1:11" x14ac:dyDescent="0.3">
      <c r="A1034">
        <v>101</v>
      </c>
      <c r="B1034" s="1" t="s">
        <v>129</v>
      </c>
      <c r="C1034" s="1" t="s">
        <v>99</v>
      </c>
      <c r="D1034">
        <v>502460</v>
      </c>
      <c r="E1034" s="3">
        <v>362965</v>
      </c>
      <c r="F1034">
        <v>44354</v>
      </c>
      <c r="G1034">
        <v>65</v>
      </c>
      <c r="H1034">
        <v>84173</v>
      </c>
      <c r="I1034">
        <v>29746</v>
      </c>
      <c r="J1034">
        <v>69948</v>
      </c>
      <c r="K1034">
        <v>2021</v>
      </c>
    </row>
    <row r="1035" spans="1:11" x14ac:dyDescent="0.3">
      <c r="A1035">
        <v>102</v>
      </c>
      <c r="B1035" s="1" t="s">
        <v>170</v>
      </c>
      <c r="C1035" s="1" t="s">
        <v>90</v>
      </c>
      <c r="D1035">
        <v>498430</v>
      </c>
      <c r="E1035" s="3">
        <v>239946</v>
      </c>
      <c r="F1035">
        <v>33995</v>
      </c>
      <c r="G1035">
        <v>55</v>
      </c>
      <c r="H1035">
        <v>53616</v>
      </c>
      <c r="I1035">
        <v>46141</v>
      </c>
      <c r="J1035">
        <v>79789</v>
      </c>
      <c r="K1035">
        <v>2021</v>
      </c>
    </row>
    <row r="1036" spans="1:11" x14ac:dyDescent="0.3">
      <c r="A1036">
        <v>103</v>
      </c>
      <c r="B1036" s="1" t="s">
        <v>133</v>
      </c>
      <c r="C1036" s="1" t="s">
        <v>90</v>
      </c>
      <c r="D1036">
        <v>495640</v>
      </c>
      <c r="E1036" s="3">
        <v>552209</v>
      </c>
      <c r="F1036">
        <v>76313</v>
      </c>
      <c r="G1036">
        <v>57</v>
      </c>
      <c r="H1036">
        <v>62482</v>
      </c>
      <c r="I1036">
        <v>26655</v>
      </c>
      <c r="J1036">
        <v>90697</v>
      </c>
      <c r="K1036">
        <v>2021</v>
      </c>
    </row>
    <row r="1037" spans="1:11" x14ac:dyDescent="0.3">
      <c r="A1037">
        <v>104</v>
      </c>
      <c r="B1037" s="1" t="s">
        <v>95</v>
      </c>
      <c r="C1037" s="1" t="s">
        <v>24</v>
      </c>
      <c r="D1037">
        <v>494760</v>
      </c>
      <c r="E1037" s="3">
        <v>719412</v>
      </c>
      <c r="F1037">
        <v>69028</v>
      </c>
      <c r="G1037">
        <v>67</v>
      </c>
      <c r="H1037">
        <v>32981</v>
      </c>
      <c r="I1037">
        <v>17921</v>
      </c>
      <c r="J1037">
        <v>80903</v>
      </c>
      <c r="K1037">
        <v>2021</v>
      </c>
    </row>
    <row r="1038" spans="1:11" x14ac:dyDescent="0.3">
      <c r="A1038">
        <v>105</v>
      </c>
      <c r="B1038" s="1" t="s">
        <v>101</v>
      </c>
      <c r="C1038" s="1" t="s">
        <v>99</v>
      </c>
      <c r="D1038">
        <v>493400</v>
      </c>
      <c r="E1038" s="3">
        <v>363774</v>
      </c>
      <c r="F1038">
        <v>36125</v>
      </c>
      <c r="G1038">
        <v>59</v>
      </c>
      <c r="H1038">
        <v>58436</v>
      </c>
      <c r="I1038">
        <v>46489</v>
      </c>
      <c r="J1038">
        <v>82229</v>
      </c>
      <c r="K1038">
        <v>2021</v>
      </c>
    </row>
    <row r="1039" spans="1:11" x14ac:dyDescent="0.3">
      <c r="A1039">
        <v>106</v>
      </c>
      <c r="B1039" s="1" t="s">
        <v>112</v>
      </c>
      <c r="C1039" s="1" t="s">
        <v>24</v>
      </c>
      <c r="D1039">
        <v>491800</v>
      </c>
      <c r="E1039" s="3">
        <v>452474</v>
      </c>
      <c r="F1039">
        <v>18719</v>
      </c>
      <c r="G1039">
        <v>66</v>
      </c>
      <c r="H1039">
        <v>66589</v>
      </c>
      <c r="I1039">
        <v>6321</v>
      </c>
      <c r="J1039">
        <v>83919</v>
      </c>
      <c r="K1039">
        <v>2021</v>
      </c>
    </row>
    <row r="1040" spans="1:11" x14ac:dyDescent="0.3">
      <c r="A1040">
        <v>107</v>
      </c>
      <c r="B1040" s="1" t="s">
        <v>37</v>
      </c>
      <c r="C1040" s="1" t="s">
        <v>26</v>
      </c>
      <c r="D1040">
        <v>489220</v>
      </c>
      <c r="E1040" s="3">
        <v>486463</v>
      </c>
      <c r="F1040">
        <v>76552</v>
      </c>
      <c r="G1040">
        <v>67</v>
      </c>
      <c r="H1040">
        <v>39707</v>
      </c>
      <c r="I1040">
        <v>14390</v>
      </c>
      <c r="J1040">
        <v>86857</v>
      </c>
      <c r="K1040">
        <v>2021</v>
      </c>
    </row>
    <row r="1041" spans="1:11" x14ac:dyDescent="0.3">
      <c r="A1041">
        <v>108</v>
      </c>
      <c r="B1041" s="1" t="s">
        <v>150</v>
      </c>
      <c r="C1041" s="1" t="s">
        <v>62</v>
      </c>
      <c r="D1041">
        <v>489140</v>
      </c>
      <c r="E1041" s="3">
        <v>588527</v>
      </c>
      <c r="F1041">
        <v>40074</v>
      </c>
      <c r="G1041">
        <v>64</v>
      </c>
      <c r="H1041">
        <v>68128</v>
      </c>
      <c r="I1041">
        <v>5991</v>
      </c>
      <c r="J1041">
        <v>66835</v>
      </c>
      <c r="K1041">
        <v>2021</v>
      </c>
    </row>
    <row r="1042" spans="1:11" x14ac:dyDescent="0.3">
      <c r="A1042">
        <v>109</v>
      </c>
      <c r="B1042" s="1" t="s">
        <v>187</v>
      </c>
      <c r="C1042" s="1" t="s">
        <v>90</v>
      </c>
      <c r="D1042">
        <v>488710</v>
      </c>
      <c r="E1042" s="3">
        <v>540196</v>
      </c>
      <c r="F1042">
        <v>65216</v>
      </c>
      <c r="G1042">
        <v>66</v>
      </c>
      <c r="H1042">
        <v>16650</v>
      </c>
      <c r="I1042">
        <v>26656</v>
      </c>
      <c r="J1042">
        <v>78135</v>
      </c>
      <c r="K1042">
        <v>2021</v>
      </c>
    </row>
    <row r="1043" spans="1:11" x14ac:dyDescent="0.3">
      <c r="A1043">
        <v>110</v>
      </c>
      <c r="B1043" s="1" t="s">
        <v>131</v>
      </c>
      <c r="C1043" s="1" t="s">
        <v>62</v>
      </c>
      <c r="D1043">
        <v>487480</v>
      </c>
      <c r="E1043" s="3">
        <v>558894</v>
      </c>
      <c r="F1043">
        <v>81739</v>
      </c>
      <c r="G1043">
        <v>65</v>
      </c>
      <c r="H1043">
        <v>58244</v>
      </c>
      <c r="I1043">
        <v>33400</v>
      </c>
      <c r="J1043">
        <v>98189</v>
      </c>
      <c r="K1043">
        <v>2021</v>
      </c>
    </row>
    <row r="1044" spans="1:11" x14ac:dyDescent="0.3">
      <c r="A1044">
        <v>111</v>
      </c>
      <c r="B1044" s="1" t="s">
        <v>132</v>
      </c>
      <c r="C1044" s="1" t="s">
        <v>24</v>
      </c>
      <c r="D1044">
        <v>485410</v>
      </c>
      <c r="E1044" s="3">
        <v>519779</v>
      </c>
      <c r="F1044">
        <v>54407</v>
      </c>
      <c r="G1044">
        <v>61</v>
      </c>
      <c r="H1044">
        <v>42152</v>
      </c>
      <c r="I1044">
        <v>28332</v>
      </c>
      <c r="J1044">
        <v>92520</v>
      </c>
      <c r="K1044">
        <v>2021</v>
      </c>
    </row>
    <row r="1045" spans="1:11" x14ac:dyDescent="0.3">
      <c r="A1045">
        <v>112</v>
      </c>
      <c r="B1045" s="1" t="s">
        <v>163</v>
      </c>
      <c r="C1045" s="1" t="s">
        <v>90</v>
      </c>
      <c r="D1045">
        <v>485180</v>
      </c>
      <c r="E1045" s="3">
        <v>592207</v>
      </c>
      <c r="F1045">
        <v>60308</v>
      </c>
      <c r="G1045">
        <v>60</v>
      </c>
      <c r="H1045">
        <v>59282</v>
      </c>
      <c r="I1045">
        <v>10642</v>
      </c>
      <c r="J1045">
        <v>88363</v>
      </c>
      <c r="K1045">
        <v>2021</v>
      </c>
    </row>
    <row r="1046" spans="1:11" x14ac:dyDescent="0.3">
      <c r="A1046">
        <v>113</v>
      </c>
      <c r="B1046" s="1" t="s">
        <v>172</v>
      </c>
      <c r="C1046" s="1" t="s">
        <v>90</v>
      </c>
      <c r="D1046">
        <v>483380</v>
      </c>
      <c r="E1046" s="3">
        <v>208086</v>
      </c>
      <c r="F1046">
        <v>40293</v>
      </c>
      <c r="G1046">
        <v>54</v>
      </c>
      <c r="H1046">
        <v>53165</v>
      </c>
      <c r="I1046">
        <v>33691</v>
      </c>
      <c r="J1046">
        <v>77674</v>
      </c>
      <c r="K1046">
        <v>2021</v>
      </c>
    </row>
    <row r="1047" spans="1:11" x14ac:dyDescent="0.3">
      <c r="A1047">
        <v>114</v>
      </c>
      <c r="B1047" s="1" t="s">
        <v>165</v>
      </c>
      <c r="C1047" s="1" t="s">
        <v>39</v>
      </c>
      <c r="D1047">
        <v>483040</v>
      </c>
      <c r="E1047" s="3">
        <v>344236</v>
      </c>
      <c r="F1047">
        <v>58036</v>
      </c>
      <c r="G1047">
        <v>62</v>
      </c>
      <c r="H1047">
        <v>98037</v>
      </c>
      <c r="I1047">
        <v>38822</v>
      </c>
      <c r="J1047">
        <v>88816</v>
      </c>
      <c r="K1047">
        <v>2021</v>
      </c>
    </row>
    <row r="1048" spans="1:11" x14ac:dyDescent="0.3">
      <c r="A1048">
        <v>115</v>
      </c>
      <c r="B1048" s="1" t="s">
        <v>114</v>
      </c>
      <c r="C1048" s="1" t="s">
        <v>90</v>
      </c>
      <c r="D1048">
        <v>479450</v>
      </c>
      <c r="E1048" s="3">
        <v>104394</v>
      </c>
      <c r="F1048">
        <v>54046</v>
      </c>
      <c r="G1048">
        <v>55</v>
      </c>
      <c r="H1048">
        <v>84989</v>
      </c>
      <c r="I1048">
        <v>42057</v>
      </c>
      <c r="J1048">
        <v>70266</v>
      </c>
      <c r="K1048">
        <v>2021</v>
      </c>
    </row>
    <row r="1049" spans="1:11" x14ac:dyDescent="0.3">
      <c r="A1049">
        <v>116</v>
      </c>
      <c r="B1049" s="1" t="s">
        <v>97</v>
      </c>
      <c r="C1049" s="1" t="s">
        <v>90</v>
      </c>
      <c r="D1049">
        <v>475930</v>
      </c>
      <c r="E1049" s="3">
        <v>378638</v>
      </c>
      <c r="F1049">
        <v>53327</v>
      </c>
      <c r="G1049">
        <v>50</v>
      </c>
      <c r="H1049">
        <v>60448</v>
      </c>
      <c r="I1049">
        <v>39237</v>
      </c>
      <c r="J1049">
        <v>92894</v>
      </c>
      <c r="K1049">
        <v>2021</v>
      </c>
    </row>
    <row r="1050" spans="1:11" x14ac:dyDescent="0.3">
      <c r="A1050">
        <v>117</v>
      </c>
      <c r="B1050" s="1" t="s">
        <v>158</v>
      </c>
      <c r="C1050" s="1" t="s">
        <v>90</v>
      </c>
      <c r="D1050">
        <v>472350</v>
      </c>
      <c r="E1050" s="3">
        <v>221162</v>
      </c>
      <c r="F1050">
        <v>50325</v>
      </c>
      <c r="G1050">
        <v>52</v>
      </c>
      <c r="H1050">
        <v>53624</v>
      </c>
      <c r="I1050">
        <v>30388</v>
      </c>
      <c r="J1050">
        <v>86888</v>
      </c>
      <c r="K1050">
        <v>2021</v>
      </c>
    </row>
    <row r="1051" spans="1:11" x14ac:dyDescent="0.3">
      <c r="A1051">
        <v>118</v>
      </c>
      <c r="B1051" s="1" t="s">
        <v>130</v>
      </c>
      <c r="C1051" s="1" t="s">
        <v>24</v>
      </c>
      <c r="D1051">
        <v>472120</v>
      </c>
      <c r="E1051" s="3">
        <v>588487</v>
      </c>
      <c r="F1051">
        <v>47556</v>
      </c>
      <c r="G1051">
        <v>66</v>
      </c>
      <c r="H1051">
        <v>38368</v>
      </c>
      <c r="I1051">
        <v>61061</v>
      </c>
      <c r="J1051">
        <v>73740</v>
      </c>
      <c r="K1051">
        <v>2021</v>
      </c>
    </row>
    <row r="1052" spans="1:11" x14ac:dyDescent="0.3">
      <c r="A1052">
        <v>119</v>
      </c>
      <c r="B1052" s="1" t="s">
        <v>161</v>
      </c>
      <c r="C1052" s="1" t="s">
        <v>90</v>
      </c>
      <c r="D1052">
        <v>463650</v>
      </c>
      <c r="E1052" s="3">
        <v>207955</v>
      </c>
      <c r="F1052">
        <v>61212</v>
      </c>
      <c r="G1052">
        <v>56</v>
      </c>
      <c r="H1052">
        <v>55589</v>
      </c>
      <c r="I1052">
        <v>49394</v>
      </c>
      <c r="J1052">
        <v>90151</v>
      </c>
      <c r="K1052">
        <v>2021</v>
      </c>
    </row>
    <row r="1053" spans="1:11" x14ac:dyDescent="0.3">
      <c r="A1053">
        <v>120</v>
      </c>
      <c r="B1053" s="1" t="s">
        <v>136</v>
      </c>
      <c r="C1053" s="1" t="s">
        <v>90</v>
      </c>
      <c r="D1053">
        <v>462520</v>
      </c>
      <c r="E1053" s="3">
        <v>130184</v>
      </c>
      <c r="F1053">
        <v>49489</v>
      </c>
      <c r="G1053">
        <v>56</v>
      </c>
      <c r="H1053">
        <v>60083</v>
      </c>
      <c r="I1053">
        <v>40784</v>
      </c>
      <c r="J1053">
        <v>89568</v>
      </c>
      <c r="K1053">
        <v>2021</v>
      </c>
    </row>
    <row r="1054" spans="1:11" x14ac:dyDescent="0.3">
      <c r="A1054">
        <v>121</v>
      </c>
      <c r="B1054" s="1" t="s">
        <v>145</v>
      </c>
      <c r="C1054" s="1" t="s">
        <v>90</v>
      </c>
      <c r="D1054">
        <v>460660</v>
      </c>
      <c r="E1054" s="3">
        <v>344317</v>
      </c>
      <c r="F1054">
        <v>43331</v>
      </c>
      <c r="G1054">
        <v>61</v>
      </c>
      <c r="H1054">
        <v>67438</v>
      </c>
      <c r="I1054">
        <v>69304</v>
      </c>
      <c r="J1054">
        <v>86716</v>
      </c>
      <c r="K1054">
        <v>2021</v>
      </c>
    </row>
    <row r="1055" spans="1:11" x14ac:dyDescent="0.3">
      <c r="A1055">
        <v>122</v>
      </c>
      <c r="B1055" s="1" t="s">
        <v>127</v>
      </c>
      <c r="C1055" s="1" t="s">
        <v>24</v>
      </c>
      <c r="D1055">
        <v>459650</v>
      </c>
      <c r="E1055" s="3">
        <v>524916</v>
      </c>
      <c r="F1055">
        <v>43891</v>
      </c>
      <c r="G1055">
        <v>67</v>
      </c>
      <c r="H1055">
        <v>46594</v>
      </c>
      <c r="I1055">
        <v>10556</v>
      </c>
      <c r="J1055">
        <v>91908</v>
      </c>
      <c r="K1055">
        <v>2021</v>
      </c>
    </row>
    <row r="1056" spans="1:11" x14ac:dyDescent="0.3">
      <c r="A1056">
        <v>123</v>
      </c>
      <c r="B1056" s="1" t="s">
        <v>123</v>
      </c>
      <c r="C1056" s="1" t="s">
        <v>24</v>
      </c>
      <c r="D1056">
        <v>458380</v>
      </c>
      <c r="E1056" s="3">
        <v>596729</v>
      </c>
      <c r="F1056">
        <v>74031</v>
      </c>
      <c r="G1056">
        <v>67</v>
      </c>
      <c r="H1056">
        <v>24384</v>
      </c>
      <c r="I1056">
        <v>25875</v>
      </c>
      <c r="J1056">
        <v>95192</v>
      </c>
      <c r="K1056">
        <v>2021</v>
      </c>
    </row>
    <row r="1057" spans="1:11" x14ac:dyDescent="0.3">
      <c r="A1057">
        <v>124</v>
      </c>
      <c r="B1057" s="1" t="s">
        <v>181</v>
      </c>
      <c r="C1057" s="1" t="s">
        <v>90</v>
      </c>
      <c r="D1057">
        <v>457410</v>
      </c>
      <c r="E1057" s="3">
        <v>503915</v>
      </c>
      <c r="F1057">
        <v>68320</v>
      </c>
      <c r="G1057">
        <v>57</v>
      </c>
      <c r="H1057">
        <v>57369</v>
      </c>
      <c r="I1057">
        <v>16775</v>
      </c>
      <c r="J1057">
        <v>89195</v>
      </c>
      <c r="K1057">
        <v>2021</v>
      </c>
    </row>
    <row r="1058" spans="1:11" x14ac:dyDescent="0.3">
      <c r="A1058">
        <v>125</v>
      </c>
      <c r="B1058" s="1" t="s">
        <v>128</v>
      </c>
      <c r="C1058" s="1" t="s">
        <v>24</v>
      </c>
      <c r="D1058">
        <v>451670</v>
      </c>
      <c r="E1058" s="3">
        <v>369013</v>
      </c>
      <c r="F1058">
        <v>69828</v>
      </c>
      <c r="G1058">
        <v>62</v>
      </c>
      <c r="H1058">
        <v>46105</v>
      </c>
      <c r="I1058">
        <v>15142</v>
      </c>
      <c r="J1058">
        <v>86234</v>
      </c>
      <c r="K1058">
        <v>2021</v>
      </c>
    </row>
    <row r="1059" spans="1:11" x14ac:dyDescent="0.3">
      <c r="A1059">
        <v>126</v>
      </c>
      <c r="B1059" s="1" t="s">
        <v>149</v>
      </c>
      <c r="C1059" s="1" t="s">
        <v>39</v>
      </c>
      <c r="D1059">
        <v>442580</v>
      </c>
      <c r="E1059" s="3">
        <v>380272</v>
      </c>
      <c r="F1059">
        <v>60797</v>
      </c>
      <c r="G1059">
        <v>59</v>
      </c>
      <c r="H1059">
        <v>83938</v>
      </c>
      <c r="I1059">
        <v>96061</v>
      </c>
      <c r="J1059">
        <v>67365</v>
      </c>
      <c r="K1059">
        <v>2021</v>
      </c>
    </row>
    <row r="1060" spans="1:11" x14ac:dyDescent="0.3">
      <c r="A1060">
        <v>127</v>
      </c>
      <c r="B1060" s="1" t="s">
        <v>103</v>
      </c>
      <c r="C1060" s="1" t="s">
        <v>24</v>
      </c>
      <c r="D1060">
        <v>439460</v>
      </c>
      <c r="E1060" s="3">
        <v>508214</v>
      </c>
      <c r="F1060">
        <v>58467</v>
      </c>
      <c r="G1060">
        <v>67</v>
      </c>
      <c r="H1060">
        <v>63484</v>
      </c>
      <c r="I1060">
        <v>14627</v>
      </c>
      <c r="J1060">
        <v>72628</v>
      </c>
      <c r="K1060">
        <v>2021</v>
      </c>
    </row>
    <row r="1061" spans="1:11" x14ac:dyDescent="0.3">
      <c r="A1061">
        <v>128</v>
      </c>
      <c r="B1061" s="1" t="s">
        <v>169</v>
      </c>
      <c r="C1061" s="1" t="s">
        <v>90</v>
      </c>
      <c r="D1061">
        <v>435540</v>
      </c>
      <c r="E1061" s="3">
        <v>145411</v>
      </c>
      <c r="F1061">
        <v>30116</v>
      </c>
      <c r="G1061">
        <v>48</v>
      </c>
      <c r="H1061">
        <v>33461</v>
      </c>
      <c r="I1061">
        <v>39712</v>
      </c>
      <c r="J1061">
        <v>84554</v>
      </c>
      <c r="K1061">
        <v>2021</v>
      </c>
    </row>
    <row r="1062" spans="1:11" x14ac:dyDescent="0.3">
      <c r="A1062">
        <v>129</v>
      </c>
      <c r="B1062" s="1" t="s">
        <v>152</v>
      </c>
      <c r="C1062" s="1" t="s">
        <v>99</v>
      </c>
      <c r="D1062">
        <v>432500</v>
      </c>
      <c r="E1062" s="3">
        <v>565743</v>
      </c>
      <c r="F1062">
        <v>69937</v>
      </c>
      <c r="G1062">
        <v>67</v>
      </c>
      <c r="H1062">
        <v>78129</v>
      </c>
      <c r="I1062">
        <v>44231</v>
      </c>
      <c r="J1062">
        <v>91105</v>
      </c>
      <c r="K1062">
        <v>2021</v>
      </c>
    </row>
    <row r="1063" spans="1:11" x14ac:dyDescent="0.3">
      <c r="A1063">
        <v>130</v>
      </c>
      <c r="B1063" s="1" t="s">
        <v>121</v>
      </c>
      <c r="C1063" s="1" t="s">
        <v>90</v>
      </c>
      <c r="D1063">
        <v>430810</v>
      </c>
      <c r="E1063" s="3">
        <v>484883</v>
      </c>
      <c r="F1063">
        <v>59133</v>
      </c>
      <c r="G1063">
        <v>51</v>
      </c>
      <c r="H1063">
        <v>45051</v>
      </c>
      <c r="I1063">
        <v>12449</v>
      </c>
      <c r="J1063">
        <v>73048</v>
      </c>
      <c r="K1063">
        <v>2021</v>
      </c>
    </row>
    <row r="1064" spans="1:11" x14ac:dyDescent="0.3">
      <c r="A1064">
        <v>131</v>
      </c>
      <c r="B1064" s="1" t="s">
        <v>160</v>
      </c>
      <c r="C1064" s="1" t="s">
        <v>90</v>
      </c>
      <c r="D1064">
        <v>428860</v>
      </c>
      <c r="E1064" s="3">
        <v>278460</v>
      </c>
      <c r="F1064">
        <v>31338</v>
      </c>
      <c r="G1064">
        <v>57</v>
      </c>
      <c r="H1064">
        <v>28190</v>
      </c>
      <c r="I1064">
        <v>44560</v>
      </c>
      <c r="J1064">
        <v>81488</v>
      </c>
      <c r="K1064">
        <v>2021</v>
      </c>
    </row>
    <row r="1065" spans="1:11" x14ac:dyDescent="0.3">
      <c r="A1065">
        <v>132</v>
      </c>
      <c r="B1065" s="1" t="s">
        <v>155</v>
      </c>
      <c r="C1065" s="1" t="s">
        <v>24</v>
      </c>
      <c r="D1065">
        <v>428270</v>
      </c>
      <c r="E1065" s="3">
        <v>545037</v>
      </c>
      <c r="F1065">
        <v>55191</v>
      </c>
      <c r="G1065">
        <v>62</v>
      </c>
      <c r="H1065">
        <v>62343</v>
      </c>
      <c r="I1065">
        <v>12780</v>
      </c>
      <c r="J1065">
        <v>83139</v>
      </c>
      <c r="K1065">
        <v>2021</v>
      </c>
    </row>
    <row r="1066" spans="1:11" x14ac:dyDescent="0.3">
      <c r="A1066">
        <v>133</v>
      </c>
      <c r="B1066" s="1" t="s">
        <v>142</v>
      </c>
      <c r="C1066" s="1" t="s">
        <v>90</v>
      </c>
      <c r="D1066">
        <v>427470</v>
      </c>
      <c r="E1066" s="3">
        <v>211179</v>
      </c>
      <c r="F1066">
        <v>57905</v>
      </c>
      <c r="G1066">
        <v>59</v>
      </c>
      <c r="H1066">
        <v>62947</v>
      </c>
      <c r="I1066">
        <v>44613</v>
      </c>
      <c r="J1066">
        <v>79145</v>
      </c>
      <c r="K1066">
        <v>2021</v>
      </c>
    </row>
    <row r="1067" spans="1:11" x14ac:dyDescent="0.3">
      <c r="A1067">
        <v>134</v>
      </c>
      <c r="B1067" s="1" t="s">
        <v>144</v>
      </c>
      <c r="C1067" s="1" t="s">
        <v>24</v>
      </c>
      <c r="D1067">
        <v>422740</v>
      </c>
      <c r="E1067" s="3">
        <v>380442</v>
      </c>
      <c r="F1067">
        <v>63873</v>
      </c>
      <c r="G1067">
        <v>57</v>
      </c>
      <c r="H1067">
        <v>30503</v>
      </c>
      <c r="I1067">
        <v>21905</v>
      </c>
      <c r="J1067">
        <v>75690</v>
      </c>
      <c r="K1067">
        <v>2021</v>
      </c>
    </row>
    <row r="1068" spans="1:11" x14ac:dyDescent="0.3">
      <c r="A1068">
        <v>135</v>
      </c>
      <c r="B1068" s="1" t="s">
        <v>167</v>
      </c>
      <c r="C1068" s="1" t="s">
        <v>90</v>
      </c>
      <c r="D1068">
        <v>420850</v>
      </c>
      <c r="E1068" s="3">
        <v>151864</v>
      </c>
      <c r="F1068">
        <v>42883</v>
      </c>
      <c r="G1068">
        <v>59</v>
      </c>
      <c r="H1068">
        <v>28964</v>
      </c>
      <c r="I1068">
        <v>34110</v>
      </c>
      <c r="J1068">
        <v>84115</v>
      </c>
      <c r="K1068">
        <v>2021</v>
      </c>
    </row>
    <row r="1069" spans="1:11" x14ac:dyDescent="0.3">
      <c r="A1069">
        <v>136</v>
      </c>
      <c r="B1069" s="1" t="s">
        <v>178</v>
      </c>
      <c r="C1069" s="1" t="s">
        <v>90</v>
      </c>
      <c r="D1069">
        <v>410680</v>
      </c>
      <c r="E1069" s="3">
        <v>145093</v>
      </c>
      <c r="F1069">
        <v>20430</v>
      </c>
      <c r="G1069">
        <v>55</v>
      </c>
      <c r="H1069">
        <v>40389</v>
      </c>
      <c r="I1069">
        <v>38529</v>
      </c>
      <c r="J1069">
        <v>80512</v>
      </c>
      <c r="K1069">
        <v>2021</v>
      </c>
    </row>
    <row r="1070" spans="1:11" x14ac:dyDescent="0.3">
      <c r="A1070">
        <v>137</v>
      </c>
      <c r="B1070" s="1" t="s">
        <v>105</v>
      </c>
      <c r="C1070" s="1" t="s">
        <v>90</v>
      </c>
      <c r="D1070">
        <v>407340</v>
      </c>
      <c r="E1070" s="3">
        <v>301348</v>
      </c>
      <c r="F1070">
        <v>47069</v>
      </c>
      <c r="G1070">
        <v>56</v>
      </c>
      <c r="H1070">
        <v>68009</v>
      </c>
      <c r="I1070">
        <v>42024</v>
      </c>
      <c r="J1070">
        <v>86481</v>
      </c>
      <c r="K1070">
        <v>2021</v>
      </c>
    </row>
    <row r="1071" spans="1:11" x14ac:dyDescent="0.3">
      <c r="A1071">
        <v>138</v>
      </c>
      <c r="B1071" s="1" t="s">
        <v>143</v>
      </c>
      <c r="C1071" s="1" t="s">
        <v>90</v>
      </c>
      <c r="D1071">
        <v>384940</v>
      </c>
      <c r="E1071" s="3">
        <v>159352</v>
      </c>
      <c r="F1071">
        <v>32170</v>
      </c>
      <c r="G1071">
        <v>52</v>
      </c>
      <c r="H1071">
        <v>57009</v>
      </c>
      <c r="I1071">
        <v>44853</v>
      </c>
      <c r="J1071">
        <v>91490</v>
      </c>
      <c r="K1071">
        <v>2021</v>
      </c>
    </row>
    <row r="1072" spans="1:11" x14ac:dyDescent="0.3">
      <c r="A1072">
        <v>139</v>
      </c>
      <c r="B1072" s="1" t="s">
        <v>137</v>
      </c>
      <c r="C1072" s="1" t="s">
        <v>99</v>
      </c>
      <c r="D1072">
        <v>381890</v>
      </c>
      <c r="E1072" s="3">
        <v>423021</v>
      </c>
      <c r="F1072">
        <v>26976</v>
      </c>
      <c r="G1072">
        <v>61</v>
      </c>
      <c r="H1072">
        <v>86913</v>
      </c>
      <c r="I1072">
        <v>45496</v>
      </c>
      <c r="J1072">
        <v>80681</v>
      </c>
      <c r="K1072">
        <v>2021</v>
      </c>
    </row>
    <row r="1073" spans="1:11" x14ac:dyDescent="0.3">
      <c r="A1073">
        <v>140</v>
      </c>
      <c r="B1073" s="1" t="s">
        <v>177</v>
      </c>
      <c r="C1073" s="1" t="s">
        <v>90</v>
      </c>
      <c r="D1073">
        <v>377530</v>
      </c>
      <c r="E1073" s="3">
        <v>0</v>
      </c>
      <c r="F1073">
        <v>5329</v>
      </c>
      <c r="G1073">
        <v>53</v>
      </c>
      <c r="H1073">
        <v>41572</v>
      </c>
      <c r="I1073">
        <v>31852</v>
      </c>
      <c r="J1073">
        <v>61230</v>
      </c>
      <c r="K1073">
        <v>2021</v>
      </c>
    </row>
    <row r="1074" spans="1:11" x14ac:dyDescent="0.3">
      <c r="A1074">
        <v>141</v>
      </c>
      <c r="B1074" s="1" t="s">
        <v>156</v>
      </c>
      <c r="C1074" s="1" t="s">
        <v>24</v>
      </c>
      <c r="D1074">
        <v>365790</v>
      </c>
      <c r="E1074" s="3">
        <v>188200</v>
      </c>
      <c r="F1074">
        <v>70904</v>
      </c>
      <c r="G1074">
        <v>57</v>
      </c>
      <c r="H1074">
        <v>37460</v>
      </c>
      <c r="I1074">
        <v>17047</v>
      </c>
      <c r="J1074">
        <v>83781</v>
      </c>
      <c r="K1074">
        <v>2021</v>
      </c>
    </row>
    <row r="1075" spans="1:11" x14ac:dyDescent="0.3">
      <c r="A1075">
        <v>142</v>
      </c>
      <c r="B1075" s="1" t="s">
        <v>166</v>
      </c>
      <c r="C1075" s="1" t="s">
        <v>90</v>
      </c>
      <c r="D1075">
        <v>362320</v>
      </c>
      <c r="E1075" s="3">
        <v>247494</v>
      </c>
      <c r="F1075">
        <v>46023</v>
      </c>
      <c r="G1075">
        <v>58</v>
      </c>
      <c r="H1075">
        <v>76717</v>
      </c>
      <c r="I1075">
        <v>56804</v>
      </c>
      <c r="J1075">
        <v>57737</v>
      </c>
      <c r="K1075">
        <v>2021</v>
      </c>
    </row>
    <row r="1076" spans="1:11" x14ac:dyDescent="0.3">
      <c r="A1076">
        <v>143</v>
      </c>
      <c r="B1076" s="1" t="s">
        <v>139</v>
      </c>
      <c r="C1076" s="1" t="s">
        <v>26</v>
      </c>
      <c r="D1076">
        <v>361490</v>
      </c>
      <c r="E1076" s="3">
        <v>167985</v>
      </c>
      <c r="F1076">
        <v>14780</v>
      </c>
      <c r="G1076">
        <v>56</v>
      </c>
      <c r="H1076">
        <v>35964</v>
      </c>
      <c r="I1076">
        <v>85533</v>
      </c>
      <c r="J1076">
        <v>74540</v>
      </c>
      <c r="K1076">
        <v>2021</v>
      </c>
    </row>
    <row r="1077" spans="1:11" x14ac:dyDescent="0.3">
      <c r="A1077">
        <v>144</v>
      </c>
      <c r="B1077" s="1" t="s">
        <v>151</v>
      </c>
      <c r="C1077" s="1" t="s">
        <v>90</v>
      </c>
      <c r="D1077">
        <v>360000</v>
      </c>
      <c r="E1077" s="3">
        <v>64296</v>
      </c>
      <c r="F1077">
        <v>14298</v>
      </c>
      <c r="G1077">
        <v>58</v>
      </c>
      <c r="H1077">
        <v>67635</v>
      </c>
      <c r="I1077">
        <v>39358</v>
      </c>
      <c r="J1077">
        <v>75475</v>
      </c>
      <c r="K1077">
        <v>2021</v>
      </c>
    </row>
    <row r="1078" spans="1:11" x14ac:dyDescent="0.3">
      <c r="A1078">
        <v>145</v>
      </c>
      <c r="B1078" s="1" t="s">
        <v>117</v>
      </c>
      <c r="C1078" s="1" t="s">
        <v>90</v>
      </c>
      <c r="D1078">
        <v>351180</v>
      </c>
      <c r="E1078" s="3">
        <v>257512</v>
      </c>
      <c r="F1078">
        <v>62320</v>
      </c>
      <c r="G1078">
        <v>49</v>
      </c>
      <c r="H1078">
        <v>56631</v>
      </c>
      <c r="I1078">
        <v>18997</v>
      </c>
      <c r="J1078">
        <v>97205</v>
      </c>
      <c r="K1078">
        <v>2021</v>
      </c>
    </row>
    <row r="1079" spans="1:11" x14ac:dyDescent="0.3">
      <c r="A1079">
        <v>146</v>
      </c>
      <c r="B1079" s="1" t="s">
        <v>148</v>
      </c>
      <c r="C1079" s="1" t="s">
        <v>90</v>
      </c>
      <c r="D1079">
        <v>346650</v>
      </c>
      <c r="E1079" s="3">
        <v>627831</v>
      </c>
      <c r="F1079">
        <v>61801</v>
      </c>
      <c r="G1079">
        <v>59</v>
      </c>
      <c r="H1079">
        <v>75231</v>
      </c>
      <c r="I1079">
        <v>5061</v>
      </c>
      <c r="J1079">
        <v>83820</v>
      </c>
      <c r="K1079">
        <v>2021</v>
      </c>
    </row>
    <row r="1080" spans="1:11" x14ac:dyDescent="0.3">
      <c r="A1080">
        <v>147</v>
      </c>
      <c r="B1080" s="1" t="s">
        <v>174</v>
      </c>
      <c r="C1080" s="1" t="s">
        <v>90</v>
      </c>
      <c r="D1080">
        <v>341470</v>
      </c>
      <c r="E1080" s="3">
        <v>207692</v>
      </c>
      <c r="F1080">
        <v>17247</v>
      </c>
      <c r="G1080">
        <v>61</v>
      </c>
      <c r="H1080">
        <v>87530</v>
      </c>
      <c r="I1080">
        <v>42024</v>
      </c>
      <c r="J1080">
        <v>9895</v>
      </c>
      <c r="K1080">
        <v>2021</v>
      </c>
    </row>
    <row r="1081" spans="1:11" x14ac:dyDescent="0.3">
      <c r="A1081">
        <v>148</v>
      </c>
      <c r="B1081" s="1" t="s">
        <v>135</v>
      </c>
      <c r="C1081" s="1" t="s">
        <v>90</v>
      </c>
      <c r="D1081">
        <v>314480</v>
      </c>
      <c r="E1081" s="3">
        <v>260868</v>
      </c>
      <c r="F1081">
        <v>55324</v>
      </c>
      <c r="G1081">
        <v>56</v>
      </c>
      <c r="H1081">
        <v>50129</v>
      </c>
      <c r="I1081">
        <v>29023</v>
      </c>
      <c r="J1081">
        <v>86197</v>
      </c>
      <c r="K1081">
        <v>2021</v>
      </c>
    </row>
    <row r="1082" spans="1:11" x14ac:dyDescent="0.3">
      <c r="A1082">
        <v>149</v>
      </c>
      <c r="B1082" s="1" t="s">
        <v>173</v>
      </c>
      <c r="C1082" s="1" t="s">
        <v>99</v>
      </c>
      <c r="D1082">
        <v>252290</v>
      </c>
      <c r="E1082" s="3">
        <v>211402</v>
      </c>
      <c r="F1082">
        <v>0</v>
      </c>
      <c r="G1082">
        <v>52</v>
      </c>
      <c r="H1082">
        <v>0</v>
      </c>
      <c r="I1082">
        <v>22474</v>
      </c>
      <c r="J1082">
        <v>98250</v>
      </c>
      <c r="K1082">
        <v>2021</v>
      </c>
    </row>
    <row r="1083" spans="1:11" x14ac:dyDescent="0.3">
      <c r="A1083">
        <v>1</v>
      </c>
      <c r="B1083" s="1" t="s">
        <v>18</v>
      </c>
      <c r="C1083" s="1" t="s">
        <v>12</v>
      </c>
      <c r="D1083">
        <v>782100</v>
      </c>
      <c r="E1083" s="3">
        <v>856175</v>
      </c>
      <c r="F1083">
        <v>95317</v>
      </c>
      <c r="G1083">
        <v>80</v>
      </c>
      <c r="H1083">
        <v>99399</v>
      </c>
      <c r="I1083">
        <v>23237</v>
      </c>
      <c r="J1083">
        <v>90939</v>
      </c>
      <c r="K1083">
        <v>2022</v>
      </c>
    </row>
    <row r="1084" spans="1:11" x14ac:dyDescent="0.3">
      <c r="A1084">
        <v>2</v>
      </c>
      <c r="B1084" s="1" t="s">
        <v>14</v>
      </c>
      <c r="C1084" s="1" t="s">
        <v>12</v>
      </c>
      <c r="D1084">
        <v>763620</v>
      </c>
      <c r="E1084" s="3">
        <v>883769</v>
      </c>
      <c r="F1084">
        <v>94149</v>
      </c>
      <c r="G1084">
        <v>80</v>
      </c>
      <c r="H1084">
        <v>97146</v>
      </c>
      <c r="I1084">
        <v>40097</v>
      </c>
      <c r="J1084">
        <v>90670</v>
      </c>
      <c r="K1084">
        <v>2022</v>
      </c>
    </row>
    <row r="1085" spans="1:11" x14ac:dyDescent="0.3">
      <c r="A1085">
        <v>3</v>
      </c>
      <c r="B1085" s="1" t="s">
        <v>13</v>
      </c>
      <c r="C1085" s="1" t="s">
        <v>12</v>
      </c>
      <c r="D1085">
        <v>755750</v>
      </c>
      <c r="E1085" s="3">
        <v>876134</v>
      </c>
      <c r="F1085">
        <v>100000</v>
      </c>
      <c r="G1085">
        <v>80</v>
      </c>
      <c r="H1085">
        <v>97048</v>
      </c>
      <c r="I1085">
        <v>57619</v>
      </c>
      <c r="J1085">
        <v>32583</v>
      </c>
      <c r="K1085">
        <v>2022</v>
      </c>
    </row>
    <row r="1086" spans="1:11" x14ac:dyDescent="0.3">
      <c r="A1086">
        <v>4</v>
      </c>
      <c r="B1086" s="1" t="s">
        <v>11</v>
      </c>
      <c r="C1086" s="1" t="s">
        <v>12</v>
      </c>
      <c r="D1086">
        <v>751160</v>
      </c>
      <c r="E1086" s="3">
        <v>916979</v>
      </c>
      <c r="F1086">
        <v>92890</v>
      </c>
      <c r="G1086">
        <v>81</v>
      </c>
      <c r="H1086">
        <v>91475</v>
      </c>
      <c r="I1086">
        <v>31377</v>
      </c>
      <c r="J1086">
        <v>78559</v>
      </c>
      <c r="K1086">
        <v>2022</v>
      </c>
    </row>
    <row r="1087" spans="1:11" x14ac:dyDescent="0.3">
      <c r="A1087">
        <v>5</v>
      </c>
      <c r="B1087" s="1" t="s">
        <v>19</v>
      </c>
      <c r="C1087" s="1" t="s">
        <v>12</v>
      </c>
      <c r="D1087">
        <v>741490</v>
      </c>
      <c r="E1087" s="3">
        <v>880140</v>
      </c>
      <c r="F1087">
        <v>91358</v>
      </c>
      <c r="G1087">
        <v>80</v>
      </c>
      <c r="H1087">
        <v>87925</v>
      </c>
      <c r="I1087">
        <v>57932</v>
      </c>
      <c r="J1087">
        <v>71415</v>
      </c>
      <c r="K1087">
        <v>2022</v>
      </c>
    </row>
    <row r="1088" spans="1:11" x14ac:dyDescent="0.3">
      <c r="A1088">
        <v>6</v>
      </c>
      <c r="B1088" s="1" t="s">
        <v>31</v>
      </c>
      <c r="C1088" s="1" t="s">
        <v>12</v>
      </c>
      <c r="D1088">
        <v>740400</v>
      </c>
      <c r="E1088" s="3">
        <v>1000000</v>
      </c>
      <c r="F1088">
        <v>87470</v>
      </c>
      <c r="G1088">
        <v>80</v>
      </c>
      <c r="H1088">
        <v>94553</v>
      </c>
      <c r="I1088">
        <v>25688</v>
      </c>
      <c r="J1088">
        <v>66139</v>
      </c>
      <c r="K1088">
        <v>2022</v>
      </c>
    </row>
    <row r="1089" spans="1:11" x14ac:dyDescent="0.3">
      <c r="A1089">
        <v>7</v>
      </c>
      <c r="B1089" s="1" t="s">
        <v>20</v>
      </c>
      <c r="C1089" s="1" t="s">
        <v>12</v>
      </c>
      <c r="D1089">
        <v>738430</v>
      </c>
      <c r="E1089" s="3">
        <v>869133</v>
      </c>
      <c r="F1089">
        <v>91221</v>
      </c>
      <c r="G1089">
        <v>80</v>
      </c>
      <c r="H1089">
        <v>97793</v>
      </c>
      <c r="I1089">
        <v>46574</v>
      </c>
      <c r="J1089">
        <v>87289</v>
      </c>
      <c r="K1089">
        <v>2022</v>
      </c>
    </row>
    <row r="1090" spans="1:11" x14ac:dyDescent="0.3">
      <c r="A1090">
        <v>8</v>
      </c>
      <c r="B1090" s="1" t="s">
        <v>15</v>
      </c>
      <c r="C1090" s="1" t="s">
        <v>12</v>
      </c>
      <c r="D1090">
        <v>736510</v>
      </c>
      <c r="E1090" s="3">
        <v>903954</v>
      </c>
      <c r="F1090">
        <v>93873</v>
      </c>
      <c r="G1090">
        <v>80</v>
      </c>
      <c r="H1090">
        <v>98326</v>
      </c>
      <c r="I1090">
        <v>46298</v>
      </c>
      <c r="J1090">
        <v>80773</v>
      </c>
      <c r="K1090">
        <v>2022</v>
      </c>
    </row>
    <row r="1091" spans="1:11" x14ac:dyDescent="0.3">
      <c r="A1091">
        <v>9</v>
      </c>
      <c r="B1091" s="1" t="s">
        <v>23</v>
      </c>
      <c r="C1091" s="1" t="s">
        <v>24</v>
      </c>
      <c r="D1091">
        <v>736380</v>
      </c>
      <c r="E1091" s="3">
        <v>826439</v>
      </c>
      <c r="F1091">
        <v>92506</v>
      </c>
      <c r="G1091">
        <v>81</v>
      </c>
      <c r="H1091">
        <v>76704</v>
      </c>
      <c r="I1091">
        <v>33090</v>
      </c>
      <c r="J1091">
        <v>24303</v>
      </c>
      <c r="K1091">
        <v>2022</v>
      </c>
    </row>
    <row r="1092" spans="1:11" x14ac:dyDescent="0.3">
      <c r="A1092">
        <v>10</v>
      </c>
      <c r="B1092" s="1" t="s">
        <v>21</v>
      </c>
      <c r="C1092" s="1" t="s">
        <v>17</v>
      </c>
      <c r="D1092">
        <v>719980</v>
      </c>
      <c r="E1092" s="3">
        <v>838257</v>
      </c>
      <c r="F1092">
        <v>93539</v>
      </c>
      <c r="G1092">
        <v>79</v>
      </c>
      <c r="H1092">
        <v>91854</v>
      </c>
      <c r="I1092">
        <v>52286</v>
      </c>
      <c r="J1092">
        <v>82307</v>
      </c>
      <c r="K1092">
        <v>2022</v>
      </c>
    </row>
    <row r="1093" spans="1:11" x14ac:dyDescent="0.3">
      <c r="A1093">
        <v>11</v>
      </c>
      <c r="B1093" s="1" t="s">
        <v>27</v>
      </c>
      <c r="C1093" s="1" t="s">
        <v>12</v>
      </c>
      <c r="D1093">
        <v>716300</v>
      </c>
      <c r="E1093" s="3">
        <v>874141</v>
      </c>
      <c r="F1093">
        <v>88283</v>
      </c>
      <c r="G1093">
        <v>80</v>
      </c>
      <c r="H1093">
        <v>84156</v>
      </c>
      <c r="I1093">
        <v>41306</v>
      </c>
      <c r="J1093">
        <v>56086</v>
      </c>
      <c r="K1093">
        <v>2022</v>
      </c>
    </row>
    <row r="1094" spans="1:11" x14ac:dyDescent="0.3">
      <c r="A1094">
        <v>12</v>
      </c>
      <c r="B1094" s="1" t="s">
        <v>22</v>
      </c>
      <c r="C1094" s="1" t="s">
        <v>17</v>
      </c>
      <c r="D1094">
        <v>716210</v>
      </c>
      <c r="E1094" s="3">
        <v>859913</v>
      </c>
      <c r="F1094">
        <v>91171</v>
      </c>
      <c r="G1094">
        <v>80</v>
      </c>
      <c r="H1094">
        <v>91414</v>
      </c>
      <c r="I1094">
        <v>55053</v>
      </c>
      <c r="J1094">
        <v>58117</v>
      </c>
      <c r="K1094">
        <v>2022</v>
      </c>
    </row>
    <row r="1095" spans="1:11" x14ac:dyDescent="0.3">
      <c r="A1095">
        <v>13</v>
      </c>
      <c r="B1095" s="1" t="s">
        <v>32</v>
      </c>
      <c r="C1095" s="1" t="s">
        <v>12</v>
      </c>
      <c r="D1095">
        <v>704080</v>
      </c>
      <c r="E1095" s="3">
        <v>963627</v>
      </c>
      <c r="F1095">
        <v>88309</v>
      </c>
      <c r="G1095">
        <v>80</v>
      </c>
      <c r="H1095">
        <v>84692</v>
      </c>
      <c r="I1095">
        <v>40537</v>
      </c>
      <c r="J1095">
        <v>69472</v>
      </c>
      <c r="K1095">
        <v>2022</v>
      </c>
    </row>
    <row r="1096" spans="1:11" x14ac:dyDescent="0.3">
      <c r="A1096">
        <v>14</v>
      </c>
      <c r="B1096" s="1" t="s">
        <v>41</v>
      </c>
      <c r="C1096" s="1" t="s">
        <v>12</v>
      </c>
      <c r="D1096">
        <v>703410</v>
      </c>
      <c r="E1096" s="3">
        <v>870708</v>
      </c>
      <c r="F1096">
        <v>82395</v>
      </c>
      <c r="G1096">
        <v>80</v>
      </c>
      <c r="H1096">
        <v>79064</v>
      </c>
      <c r="I1096">
        <v>34739</v>
      </c>
      <c r="J1096">
        <v>60939</v>
      </c>
      <c r="K1096">
        <v>2022</v>
      </c>
    </row>
    <row r="1097" spans="1:11" x14ac:dyDescent="0.3">
      <c r="A1097">
        <v>15</v>
      </c>
      <c r="B1097" s="1" t="s">
        <v>16</v>
      </c>
      <c r="C1097" s="1" t="s">
        <v>17</v>
      </c>
      <c r="D1097">
        <v>702510</v>
      </c>
      <c r="E1097" s="3">
        <v>853832</v>
      </c>
      <c r="F1097">
        <v>89988</v>
      </c>
      <c r="G1097">
        <v>80</v>
      </c>
      <c r="H1097">
        <v>89034</v>
      </c>
      <c r="I1097">
        <v>46367</v>
      </c>
      <c r="J1097">
        <v>62745</v>
      </c>
      <c r="K1097">
        <v>2022</v>
      </c>
    </row>
    <row r="1098" spans="1:11" x14ac:dyDescent="0.3">
      <c r="A1098">
        <v>16</v>
      </c>
      <c r="B1098" s="1" t="s">
        <v>29</v>
      </c>
      <c r="C1098" s="1" t="s">
        <v>17</v>
      </c>
      <c r="D1098">
        <v>697680</v>
      </c>
      <c r="E1098" s="3">
        <v>897234</v>
      </c>
      <c r="F1098">
        <v>89524</v>
      </c>
      <c r="G1098">
        <v>75</v>
      </c>
      <c r="H1098">
        <v>77600</v>
      </c>
      <c r="I1098">
        <v>47025</v>
      </c>
      <c r="J1098">
        <v>30113</v>
      </c>
      <c r="K1098">
        <v>2022</v>
      </c>
    </row>
    <row r="1099" spans="1:11" x14ac:dyDescent="0.3">
      <c r="A1099">
        <v>17</v>
      </c>
      <c r="B1099" s="1" t="s">
        <v>35</v>
      </c>
      <c r="C1099" s="1" t="s">
        <v>12</v>
      </c>
      <c r="D1099">
        <v>694250</v>
      </c>
      <c r="E1099" s="3">
        <v>845109</v>
      </c>
      <c r="F1099">
        <v>86604</v>
      </c>
      <c r="G1099">
        <v>79</v>
      </c>
      <c r="H1099">
        <v>80610</v>
      </c>
      <c r="I1099">
        <v>61778</v>
      </c>
      <c r="J1099">
        <v>56096</v>
      </c>
      <c r="K1099">
        <v>2022</v>
      </c>
    </row>
    <row r="1100" spans="1:11" x14ac:dyDescent="0.3">
      <c r="A1100">
        <v>18</v>
      </c>
      <c r="B1100" s="1" t="s">
        <v>193</v>
      </c>
      <c r="C1100" s="1" t="s">
        <v>47</v>
      </c>
      <c r="D1100">
        <v>691980</v>
      </c>
      <c r="E1100" s="3">
        <v>821499</v>
      </c>
      <c r="F1100">
        <v>95467</v>
      </c>
      <c r="G1100">
        <v>78</v>
      </c>
      <c r="H1100">
        <v>89237</v>
      </c>
      <c r="I1100">
        <v>33864</v>
      </c>
      <c r="J1100">
        <v>8215</v>
      </c>
      <c r="K1100">
        <v>2022</v>
      </c>
    </row>
    <row r="1101" spans="1:11" x14ac:dyDescent="0.3">
      <c r="A1101">
        <v>19</v>
      </c>
      <c r="B1101" s="1" t="s">
        <v>33</v>
      </c>
      <c r="C1101" s="1" t="s">
        <v>12</v>
      </c>
      <c r="D1101">
        <v>680500</v>
      </c>
      <c r="E1101" s="3">
        <v>863249</v>
      </c>
      <c r="F1101">
        <v>83805</v>
      </c>
      <c r="G1101">
        <v>79</v>
      </c>
      <c r="H1101">
        <v>66475</v>
      </c>
      <c r="I1101">
        <v>10548</v>
      </c>
      <c r="J1101">
        <v>34685</v>
      </c>
      <c r="K1101">
        <v>2022</v>
      </c>
    </row>
    <row r="1102" spans="1:11" x14ac:dyDescent="0.3">
      <c r="A1102">
        <v>20</v>
      </c>
      <c r="B1102" s="1" t="s">
        <v>44</v>
      </c>
      <c r="C1102" s="1" t="s">
        <v>12</v>
      </c>
      <c r="D1102">
        <v>668670</v>
      </c>
      <c r="E1102" s="3">
        <v>843077</v>
      </c>
      <c r="F1102">
        <v>92324</v>
      </c>
      <c r="G1102">
        <v>81</v>
      </c>
      <c r="H1102">
        <v>76644</v>
      </c>
      <c r="I1102">
        <v>14938</v>
      </c>
      <c r="J1102">
        <v>45266</v>
      </c>
      <c r="K1102">
        <v>2022</v>
      </c>
    </row>
    <row r="1103" spans="1:11" x14ac:dyDescent="0.3">
      <c r="A1103">
        <v>21</v>
      </c>
      <c r="B1103" s="1" t="s">
        <v>67</v>
      </c>
      <c r="C1103" s="1" t="s">
        <v>24</v>
      </c>
      <c r="D1103">
        <v>664690</v>
      </c>
      <c r="E1103" s="3">
        <v>839134</v>
      </c>
      <c r="F1103">
        <v>77954</v>
      </c>
      <c r="G1103">
        <v>75</v>
      </c>
      <c r="H1103">
        <v>93632</v>
      </c>
      <c r="I1103">
        <v>42584</v>
      </c>
      <c r="J1103">
        <v>26344</v>
      </c>
      <c r="K1103">
        <v>2022</v>
      </c>
    </row>
    <row r="1104" spans="1:11" x14ac:dyDescent="0.3">
      <c r="A1104">
        <v>22</v>
      </c>
      <c r="B1104" s="1" t="s">
        <v>73</v>
      </c>
      <c r="C1104" s="1" t="s">
        <v>47</v>
      </c>
      <c r="D1104">
        <v>663010</v>
      </c>
      <c r="E1104" s="3">
        <v>819057</v>
      </c>
      <c r="F1104">
        <v>94632</v>
      </c>
      <c r="G1104">
        <v>79</v>
      </c>
      <c r="H1104">
        <v>92499</v>
      </c>
      <c r="I1104">
        <v>25178</v>
      </c>
      <c r="J1104">
        <v>19555</v>
      </c>
      <c r="K1104">
        <v>2022</v>
      </c>
    </row>
    <row r="1105" spans="1:11" x14ac:dyDescent="0.3">
      <c r="A1105">
        <v>23</v>
      </c>
      <c r="B1105" s="1" t="s">
        <v>25</v>
      </c>
      <c r="C1105" s="1" t="s">
        <v>26</v>
      </c>
      <c r="D1105">
        <v>658200</v>
      </c>
      <c r="E1105" s="3">
        <v>717062</v>
      </c>
      <c r="F1105">
        <v>79887</v>
      </c>
      <c r="G1105">
        <v>79</v>
      </c>
      <c r="H1105">
        <v>89372</v>
      </c>
      <c r="I1105">
        <v>19015</v>
      </c>
      <c r="J1105">
        <v>17451</v>
      </c>
      <c r="K1105">
        <v>2022</v>
      </c>
    </row>
    <row r="1106" spans="1:11" x14ac:dyDescent="0.3">
      <c r="A1106">
        <v>24</v>
      </c>
      <c r="B1106" s="1" t="s">
        <v>34</v>
      </c>
      <c r="C1106" s="1" t="s">
        <v>24</v>
      </c>
      <c r="D1106">
        <v>657600</v>
      </c>
      <c r="E1106" s="3">
        <v>904366</v>
      </c>
      <c r="F1106">
        <v>74215</v>
      </c>
      <c r="G1106">
        <v>75</v>
      </c>
      <c r="H1106">
        <v>94864</v>
      </c>
      <c r="I1106">
        <v>43534</v>
      </c>
      <c r="J1106">
        <v>42677</v>
      </c>
      <c r="K1106">
        <v>2022</v>
      </c>
    </row>
    <row r="1107" spans="1:11" x14ac:dyDescent="0.3">
      <c r="A1107">
        <v>25</v>
      </c>
      <c r="B1107" s="1" t="s">
        <v>51</v>
      </c>
      <c r="C1107" s="1" t="s">
        <v>24</v>
      </c>
      <c r="D1107">
        <v>652280</v>
      </c>
      <c r="E1107" s="3">
        <v>846181</v>
      </c>
      <c r="F1107">
        <v>82739</v>
      </c>
      <c r="G1107">
        <v>74</v>
      </c>
      <c r="H1107">
        <v>87940</v>
      </c>
      <c r="I1107">
        <v>16759</v>
      </c>
      <c r="J1107">
        <v>30737</v>
      </c>
      <c r="K1107">
        <v>2022</v>
      </c>
    </row>
    <row r="1108" spans="1:11" x14ac:dyDescent="0.3">
      <c r="A1108">
        <v>26</v>
      </c>
      <c r="B1108" s="1" t="s">
        <v>184</v>
      </c>
      <c r="C1108" s="1" t="s">
        <v>55</v>
      </c>
      <c r="D1108">
        <v>651250</v>
      </c>
      <c r="E1108" s="3">
        <v>858555</v>
      </c>
      <c r="F1108">
        <v>82975</v>
      </c>
      <c r="G1108">
        <v>78</v>
      </c>
      <c r="H1108">
        <v>73273</v>
      </c>
      <c r="I1108">
        <v>16035</v>
      </c>
      <c r="J1108">
        <v>28669</v>
      </c>
      <c r="K1108">
        <v>2022</v>
      </c>
    </row>
    <row r="1109" spans="1:11" x14ac:dyDescent="0.3">
      <c r="A1109">
        <v>27</v>
      </c>
      <c r="B1109" s="1" t="s">
        <v>38</v>
      </c>
      <c r="C1109" s="1" t="s">
        <v>39</v>
      </c>
      <c r="D1109">
        <v>648020</v>
      </c>
      <c r="E1109" s="3">
        <v>972490</v>
      </c>
      <c r="F1109">
        <v>85415</v>
      </c>
      <c r="G1109">
        <v>82</v>
      </c>
      <c r="H1109">
        <v>90749</v>
      </c>
      <c r="I1109">
        <v>34770</v>
      </c>
      <c r="J1109">
        <v>100000</v>
      </c>
      <c r="K1109">
        <v>2022</v>
      </c>
    </row>
    <row r="1110" spans="1:11" x14ac:dyDescent="0.3">
      <c r="A1110">
        <v>28</v>
      </c>
      <c r="B1110" s="1" t="s">
        <v>106</v>
      </c>
      <c r="C1110" s="1" t="s">
        <v>47</v>
      </c>
      <c r="D1110">
        <v>647700</v>
      </c>
      <c r="E1110" s="3">
        <v>777992</v>
      </c>
      <c r="F1110">
        <v>76229</v>
      </c>
      <c r="G1110">
        <v>76</v>
      </c>
      <c r="H1110">
        <v>81787</v>
      </c>
      <c r="I1110">
        <v>8393</v>
      </c>
      <c r="J1110">
        <v>1047</v>
      </c>
      <c r="K1110">
        <v>2022</v>
      </c>
    </row>
    <row r="1111" spans="1:11" x14ac:dyDescent="0.3">
      <c r="A1111">
        <v>29</v>
      </c>
      <c r="B1111" s="1" t="s">
        <v>52</v>
      </c>
      <c r="C1111" s="1" t="s">
        <v>12</v>
      </c>
      <c r="D1111">
        <v>647630</v>
      </c>
      <c r="E1111" s="3">
        <v>818361</v>
      </c>
      <c r="F1111">
        <v>91750</v>
      </c>
      <c r="G1111">
        <v>81</v>
      </c>
      <c r="H1111">
        <v>68232</v>
      </c>
      <c r="I1111">
        <v>21683</v>
      </c>
      <c r="J1111">
        <v>25393</v>
      </c>
      <c r="K1111">
        <v>2022</v>
      </c>
    </row>
    <row r="1112" spans="1:11" x14ac:dyDescent="0.3">
      <c r="A1112">
        <v>30</v>
      </c>
      <c r="B1112" s="1" t="s">
        <v>48</v>
      </c>
      <c r="C1112" s="1" t="s">
        <v>26</v>
      </c>
      <c r="D1112">
        <v>647360</v>
      </c>
      <c r="E1112" s="3">
        <v>730759</v>
      </c>
      <c r="F1112">
        <v>89371</v>
      </c>
      <c r="G1112">
        <v>76</v>
      </c>
      <c r="H1112">
        <v>89858</v>
      </c>
      <c r="I1112">
        <v>21930</v>
      </c>
      <c r="J1112">
        <v>45200</v>
      </c>
      <c r="K1112">
        <v>2022</v>
      </c>
    </row>
    <row r="1113" spans="1:11" x14ac:dyDescent="0.3">
      <c r="A1113">
        <v>31</v>
      </c>
      <c r="B1113" s="1" t="s">
        <v>68</v>
      </c>
      <c r="C1113" s="1" t="s">
        <v>12</v>
      </c>
      <c r="D1113">
        <v>646670</v>
      </c>
      <c r="E1113" s="3">
        <v>830189</v>
      </c>
      <c r="F1113">
        <v>79682</v>
      </c>
      <c r="G1113">
        <v>80</v>
      </c>
      <c r="H1113">
        <v>55740</v>
      </c>
      <c r="I1113">
        <v>18239</v>
      </c>
      <c r="J1113">
        <v>10098</v>
      </c>
      <c r="K1113">
        <v>2022</v>
      </c>
    </row>
    <row r="1114" spans="1:11" x14ac:dyDescent="0.3">
      <c r="A1114">
        <v>32</v>
      </c>
      <c r="B1114" s="1" t="s">
        <v>87</v>
      </c>
      <c r="C1114" s="1" t="s">
        <v>47</v>
      </c>
      <c r="D1114">
        <v>645510</v>
      </c>
      <c r="E1114" s="3">
        <v>616511</v>
      </c>
      <c r="F1114">
        <v>71924</v>
      </c>
      <c r="G1114">
        <v>73</v>
      </c>
      <c r="H1114">
        <v>80922</v>
      </c>
      <c r="I1114">
        <v>66076</v>
      </c>
      <c r="J1114">
        <v>5966</v>
      </c>
      <c r="K1114">
        <v>2022</v>
      </c>
    </row>
    <row r="1115" spans="1:11" x14ac:dyDescent="0.3">
      <c r="A1115">
        <v>33</v>
      </c>
      <c r="B1115" s="1" t="s">
        <v>53</v>
      </c>
      <c r="C1115" s="1" t="s">
        <v>12</v>
      </c>
      <c r="D1115">
        <v>644690</v>
      </c>
      <c r="E1115" s="3">
        <v>832028</v>
      </c>
      <c r="F1115">
        <v>88561</v>
      </c>
      <c r="G1115">
        <v>80</v>
      </c>
      <c r="H1115">
        <v>91775</v>
      </c>
      <c r="I1115">
        <v>37249</v>
      </c>
      <c r="J1115">
        <v>28261</v>
      </c>
      <c r="K1115">
        <v>2022</v>
      </c>
    </row>
    <row r="1116" spans="1:11" x14ac:dyDescent="0.3">
      <c r="A1116">
        <v>34</v>
      </c>
      <c r="B1116" s="1" t="s">
        <v>74</v>
      </c>
      <c r="C1116" s="1" t="s">
        <v>12</v>
      </c>
      <c r="D1116">
        <v>644560</v>
      </c>
      <c r="E1116" s="3">
        <v>816481</v>
      </c>
      <c r="F1116">
        <v>91192</v>
      </c>
      <c r="G1116">
        <v>76</v>
      </c>
      <c r="H1116">
        <v>66978</v>
      </c>
      <c r="I1116">
        <v>11378</v>
      </c>
      <c r="J1116">
        <v>13111</v>
      </c>
      <c r="K1116">
        <v>2022</v>
      </c>
    </row>
    <row r="1117" spans="1:11" x14ac:dyDescent="0.3">
      <c r="A1117">
        <v>35</v>
      </c>
      <c r="B1117" s="1" t="s">
        <v>63</v>
      </c>
      <c r="C1117" s="1" t="s">
        <v>47</v>
      </c>
      <c r="D1117">
        <v>639070</v>
      </c>
      <c r="E1117" s="3">
        <v>785947</v>
      </c>
      <c r="F1117">
        <v>93319</v>
      </c>
      <c r="G1117">
        <v>78</v>
      </c>
      <c r="H1117">
        <v>64679</v>
      </c>
      <c r="I1117">
        <v>25180</v>
      </c>
      <c r="J1117">
        <v>4181</v>
      </c>
      <c r="K1117">
        <v>2022</v>
      </c>
    </row>
    <row r="1118" spans="1:11" x14ac:dyDescent="0.3">
      <c r="A1118">
        <v>36</v>
      </c>
      <c r="B1118" s="1" t="s">
        <v>92</v>
      </c>
      <c r="C1118" s="1" t="s">
        <v>12</v>
      </c>
      <c r="D1118">
        <v>634080</v>
      </c>
      <c r="E1118" s="3">
        <v>811754</v>
      </c>
      <c r="F1118">
        <v>93364</v>
      </c>
      <c r="G1118">
        <v>78</v>
      </c>
      <c r="H1118">
        <v>93145</v>
      </c>
      <c r="I1118">
        <v>26272</v>
      </c>
      <c r="J1118">
        <v>56726</v>
      </c>
      <c r="K1118">
        <v>2022</v>
      </c>
    </row>
    <row r="1119" spans="1:11" x14ac:dyDescent="0.3">
      <c r="A1119">
        <v>37</v>
      </c>
      <c r="B1119" s="1" t="s">
        <v>40</v>
      </c>
      <c r="C1119" s="1" t="s">
        <v>26</v>
      </c>
      <c r="D1119">
        <v>630910</v>
      </c>
      <c r="E1119" s="3">
        <v>776178</v>
      </c>
      <c r="F1119">
        <v>83838</v>
      </c>
      <c r="G1119">
        <v>78</v>
      </c>
      <c r="H1119">
        <v>80043</v>
      </c>
      <c r="I1119">
        <v>10441</v>
      </c>
      <c r="J1119">
        <v>8740</v>
      </c>
      <c r="K1119">
        <v>2022</v>
      </c>
    </row>
    <row r="1120" spans="1:11" x14ac:dyDescent="0.3">
      <c r="A1120">
        <v>38</v>
      </c>
      <c r="B1120" s="1" t="s">
        <v>30</v>
      </c>
      <c r="C1120" s="1" t="s">
        <v>26</v>
      </c>
      <c r="D1120">
        <v>629280</v>
      </c>
      <c r="E1120" s="3">
        <v>661668</v>
      </c>
      <c r="F1120">
        <v>79111</v>
      </c>
      <c r="G1120">
        <v>75</v>
      </c>
      <c r="H1120">
        <v>73827</v>
      </c>
      <c r="I1120">
        <v>28005</v>
      </c>
      <c r="J1120">
        <v>22882</v>
      </c>
      <c r="K1120">
        <v>2022</v>
      </c>
    </row>
    <row r="1121" spans="1:11" x14ac:dyDescent="0.3">
      <c r="A1121">
        <v>39</v>
      </c>
      <c r="B1121" s="1" t="s">
        <v>60</v>
      </c>
      <c r="C1121" s="1" t="s">
        <v>26</v>
      </c>
      <c r="D1121">
        <v>626220</v>
      </c>
      <c r="E1121" s="3">
        <v>576466</v>
      </c>
      <c r="F1121">
        <v>62965</v>
      </c>
      <c r="G1121">
        <v>72</v>
      </c>
      <c r="H1121">
        <v>89476</v>
      </c>
      <c r="I1121">
        <v>23985</v>
      </c>
      <c r="J1121">
        <v>19561</v>
      </c>
      <c r="K1121">
        <v>2022</v>
      </c>
    </row>
    <row r="1122" spans="1:11" x14ac:dyDescent="0.3">
      <c r="A1122">
        <v>40</v>
      </c>
      <c r="B1122" s="1" t="s">
        <v>72</v>
      </c>
      <c r="C1122" s="1" t="s">
        <v>62</v>
      </c>
      <c r="D1122">
        <v>623410</v>
      </c>
      <c r="E1122" s="3">
        <v>754949</v>
      </c>
      <c r="F1122">
        <v>92443</v>
      </c>
      <c r="G1122">
        <v>75</v>
      </c>
      <c r="H1122">
        <v>78852</v>
      </c>
      <c r="I1122">
        <v>28593</v>
      </c>
      <c r="J1122">
        <v>26778</v>
      </c>
      <c r="K1122">
        <v>2022</v>
      </c>
    </row>
    <row r="1123" spans="1:11" x14ac:dyDescent="0.3">
      <c r="A1123">
        <v>41</v>
      </c>
      <c r="B1123" s="1" t="s">
        <v>85</v>
      </c>
      <c r="C1123" s="1" t="s">
        <v>90</v>
      </c>
      <c r="D1123">
        <v>622090</v>
      </c>
      <c r="E1123" s="3">
        <v>821521</v>
      </c>
      <c r="F1123">
        <v>68892</v>
      </c>
      <c r="G1123">
        <v>81</v>
      </c>
      <c r="H1123">
        <v>60557</v>
      </c>
      <c r="I1123">
        <v>26356</v>
      </c>
      <c r="J1123">
        <v>10528</v>
      </c>
      <c r="K1123">
        <v>2022</v>
      </c>
    </row>
    <row r="1124" spans="1:11" x14ac:dyDescent="0.3">
      <c r="A1124">
        <v>42</v>
      </c>
      <c r="B1124" s="1" t="s">
        <v>109</v>
      </c>
      <c r="C1124" s="1" t="s">
        <v>12</v>
      </c>
      <c r="D1124">
        <v>618040</v>
      </c>
      <c r="E1124" s="3">
        <v>783741</v>
      </c>
      <c r="F1124">
        <v>92495</v>
      </c>
      <c r="G1124">
        <v>75</v>
      </c>
      <c r="H1124">
        <v>67845</v>
      </c>
      <c r="I1124">
        <v>16089</v>
      </c>
      <c r="J1124">
        <v>15420</v>
      </c>
      <c r="K1124">
        <v>2022</v>
      </c>
    </row>
    <row r="1125" spans="1:11" x14ac:dyDescent="0.3">
      <c r="A1125">
        <v>43</v>
      </c>
      <c r="B1125" s="1" t="s">
        <v>107</v>
      </c>
      <c r="C1125" s="1" t="s">
        <v>47</v>
      </c>
      <c r="D1125">
        <v>617800</v>
      </c>
      <c r="E1125" s="3">
        <v>701436</v>
      </c>
      <c r="F1125">
        <v>82245</v>
      </c>
      <c r="G1125">
        <v>76</v>
      </c>
      <c r="H1125">
        <v>73761</v>
      </c>
      <c r="I1125">
        <v>46725</v>
      </c>
      <c r="J1125">
        <v>15064</v>
      </c>
      <c r="K1125">
        <v>2022</v>
      </c>
    </row>
    <row r="1126" spans="1:11" x14ac:dyDescent="0.3">
      <c r="A1126">
        <v>44</v>
      </c>
      <c r="B1126" s="1" t="s">
        <v>42</v>
      </c>
      <c r="C1126" s="1" t="s">
        <v>26</v>
      </c>
      <c r="D1126">
        <v>617180</v>
      </c>
      <c r="E1126" s="3">
        <v>747425</v>
      </c>
      <c r="F1126">
        <v>81804</v>
      </c>
      <c r="G1126">
        <v>79</v>
      </c>
      <c r="H1126">
        <v>62162</v>
      </c>
      <c r="I1126">
        <v>26430</v>
      </c>
      <c r="J1126">
        <v>11689</v>
      </c>
      <c r="K1126">
        <v>2022</v>
      </c>
    </row>
    <row r="1127" spans="1:11" x14ac:dyDescent="0.3">
      <c r="A1127">
        <v>45</v>
      </c>
      <c r="B1127" s="1" t="s">
        <v>75</v>
      </c>
      <c r="C1127" s="1" t="s">
        <v>26</v>
      </c>
      <c r="D1127">
        <v>616460</v>
      </c>
      <c r="E1127" s="3">
        <v>500014</v>
      </c>
      <c r="F1127">
        <v>77965</v>
      </c>
      <c r="G1127">
        <v>75</v>
      </c>
      <c r="H1127">
        <v>83340</v>
      </c>
      <c r="I1127">
        <v>35862</v>
      </c>
      <c r="J1127">
        <v>36102</v>
      </c>
      <c r="K1127">
        <v>2022</v>
      </c>
    </row>
    <row r="1128" spans="1:11" x14ac:dyDescent="0.3">
      <c r="A1128">
        <v>46</v>
      </c>
      <c r="B1128" s="1" t="s">
        <v>28</v>
      </c>
      <c r="C1128" s="1" t="s">
        <v>26</v>
      </c>
      <c r="D1128">
        <v>612760</v>
      </c>
      <c r="E1128" s="3">
        <v>702240</v>
      </c>
      <c r="F1128">
        <v>67101</v>
      </c>
      <c r="G1128">
        <v>75</v>
      </c>
      <c r="H1128">
        <v>83965</v>
      </c>
      <c r="I1128">
        <v>19635</v>
      </c>
      <c r="J1128">
        <v>19636</v>
      </c>
      <c r="K1128">
        <v>2022</v>
      </c>
    </row>
    <row r="1129" spans="1:11" x14ac:dyDescent="0.3">
      <c r="A1129">
        <v>47</v>
      </c>
      <c r="B1129" s="1" t="s">
        <v>80</v>
      </c>
      <c r="C1129" s="1" t="s">
        <v>47</v>
      </c>
      <c r="D1129">
        <v>612520</v>
      </c>
      <c r="E1129" s="3">
        <v>771867</v>
      </c>
      <c r="F1129">
        <v>89648</v>
      </c>
      <c r="G1129">
        <v>78</v>
      </c>
      <c r="H1129">
        <v>72241</v>
      </c>
      <c r="I1129">
        <v>23325</v>
      </c>
      <c r="J1129">
        <v>0</v>
      </c>
      <c r="K1129">
        <v>2022</v>
      </c>
    </row>
    <row r="1130" spans="1:11" x14ac:dyDescent="0.3">
      <c r="A1130">
        <v>48</v>
      </c>
      <c r="B1130" s="1" t="s">
        <v>78</v>
      </c>
      <c r="C1130" s="1" t="s">
        <v>47</v>
      </c>
      <c r="D1130">
        <v>612280</v>
      </c>
      <c r="E1130" s="3">
        <v>795468</v>
      </c>
      <c r="F1130">
        <v>88914</v>
      </c>
      <c r="G1130">
        <v>78</v>
      </c>
      <c r="H1130">
        <v>70671</v>
      </c>
      <c r="I1130">
        <v>26538</v>
      </c>
      <c r="J1130">
        <v>23877</v>
      </c>
      <c r="K1130">
        <v>2022</v>
      </c>
    </row>
    <row r="1131" spans="1:11" x14ac:dyDescent="0.3">
      <c r="A1131">
        <v>49</v>
      </c>
      <c r="B1131" s="1" t="s">
        <v>59</v>
      </c>
      <c r="C1131" s="1" t="s">
        <v>26</v>
      </c>
      <c r="D1131">
        <v>612000</v>
      </c>
      <c r="E1131" s="3">
        <v>572506</v>
      </c>
      <c r="F1131">
        <v>58176</v>
      </c>
      <c r="G1131">
        <v>75</v>
      </c>
      <c r="H1131">
        <v>89984</v>
      </c>
      <c r="I1131">
        <v>18951</v>
      </c>
      <c r="J1131">
        <v>36099</v>
      </c>
      <c r="K1131">
        <v>2022</v>
      </c>
    </row>
    <row r="1132" spans="1:11" x14ac:dyDescent="0.3">
      <c r="A1132">
        <v>50</v>
      </c>
      <c r="B1132" s="1" t="s">
        <v>56</v>
      </c>
      <c r="C1132" s="1" t="s">
        <v>24</v>
      </c>
      <c r="D1132">
        <v>610610</v>
      </c>
      <c r="E1132" s="3">
        <v>861713</v>
      </c>
      <c r="F1132">
        <v>74496</v>
      </c>
      <c r="G1132">
        <v>79</v>
      </c>
      <c r="H1132">
        <v>83419</v>
      </c>
      <c r="I1132">
        <v>18583</v>
      </c>
      <c r="J1132">
        <v>24989</v>
      </c>
      <c r="K1132">
        <v>2022</v>
      </c>
    </row>
    <row r="1133" spans="1:11" x14ac:dyDescent="0.3">
      <c r="A1133">
        <v>51</v>
      </c>
      <c r="B1133" s="1" t="s">
        <v>124</v>
      </c>
      <c r="C1133" s="1" t="s">
        <v>47</v>
      </c>
      <c r="D1133">
        <v>608590</v>
      </c>
      <c r="E1133" s="3">
        <v>791093</v>
      </c>
      <c r="F1133">
        <v>93384</v>
      </c>
      <c r="G1133">
        <v>76</v>
      </c>
      <c r="H1133">
        <v>65489</v>
      </c>
      <c r="I1133">
        <v>16603</v>
      </c>
      <c r="J1133">
        <v>10886</v>
      </c>
      <c r="K1133">
        <v>2022</v>
      </c>
    </row>
    <row r="1134" spans="1:11" x14ac:dyDescent="0.3">
      <c r="A1134">
        <v>52</v>
      </c>
      <c r="B1134" s="1" t="s">
        <v>89</v>
      </c>
      <c r="C1134" s="1" t="s">
        <v>90</v>
      </c>
      <c r="D1134">
        <v>607110</v>
      </c>
      <c r="E1134" s="3">
        <v>720156</v>
      </c>
      <c r="F1134">
        <v>84581</v>
      </c>
      <c r="G1134">
        <v>73</v>
      </c>
      <c r="H1134">
        <v>79651</v>
      </c>
      <c r="I1134">
        <v>27965</v>
      </c>
      <c r="J1134">
        <v>18227</v>
      </c>
      <c r="K1134">
        <v>2022</v>
      </c>
    </row>
    <row r="1135" spans="1:11" x14ac:dyDescent="0.3">
      <c r="A1135">
        <v>53</v>
      </c>
      <c r="B1135" s="1" t="s">
        <v>61</v>
      </c>
      <c r="C1135" s="1" t="s">
        <v>62</v>
      </c>
      <c r="D1135">
        <v>606270</v>
      </c>
      <c r="E1135" s="3">
        <v>551801</v>
      </c>
      <c r="F1135">
        <v>82699</v>
      </c>
      <c r="G1135">
        <v>74</v>
      </c>
      <c r="H1135">
        <v>96707</v>
      </c>
      <c r="I1135">
        <v>60507</v>
      </c>
      <c r="J1135">
        <v>40970</v>
      </c>
      <c r="K1135">
        <v>2022</v>
      </c>
    </row>
    <row r="1136" spans="1:11" x14ac:dyDescent="0.3">
      <c r="A1136">
        <v>54</v>
      </c>
      <c r="B1136" s="1" t="s">
        <v>64</v>
      </c>
      <c r="C1136" s="1" t="s">
        <v>55</v>
      </c>
      <c r="D1136">
        <v>603890</v>
      </c>
      <c r="E1136" s="3">
        <v>830320</v>
      </c>
      <c r="F1136">
        <v>82532</v>
      </c>
      <c r="G1136">
        <v>82</v>
      </c>
      <c r="H1136">
        <v>72502</v>
      </c>
      <c r="I1136">
        <v>1532</v>
      </c>
      <c r="J1136">
        <v>37182</v>
      </c>
      <c r="K1136">
        <v>2022</v>
      </c>
    </row>
    <row r="1137" spans="1:11" x14ac:dyDescent="0.3">
      <c r="A1137">
        <v>55</v>
      </c>
      <c r="B1137" s="1" t="s">
        <v>125</v>
      </c>
      <c r="C1137" s="1" t="s">
        <v>26</v>
      </c>
      <c r="D1137">
        <v>602210</v>
      </c>
      <c r="E1137" s="3">
        <v>502979</v>
      </c>
      <c r="F1137">
        <v>67050</v>
      </c>
      <c r="G1137">
        <v>73</v>
      </c>
      <c r="H1137">
        <v>78665</v>
      </c>
      <c r="I1137">
        <v>43168</v>
      </c>
      <c r="J1137">
        <v>13034</v>
      </c>
      <c r="K1137">
        <v>2022</v>
      </c>
    </row>
    <row r="1138" spans="1:11" x14ac:dyDescent="0.3">
      <c r="A1138">
        <v>56</v>
      </c>
      <c r="B1138" s="1" t="s">
        <v>108</v>
      </c>
      <c r="C1138" s="1" t="s">
        <v>12</v>
      </c>
      <c r="D1138">
        <v>601630</v>
      </c>
      <c r="E1138" s="3">
        <v>796549</v>
      </c>
      <c r="F1138">
        <v>81707</v>
      </c>
      <c r="G1138">
        <v>80</v>
      </c>
      <c r="H1138">
        <v>88467</v>
      </c>
      <c r="I1138">
        <v>3490</v>
      </c>
      <c r="J1138">
        <v>6674</v>
      </c>
      <c r="K1138">
        <v>2022</v>
      </c>
    </row>
    <row r="1139" spans="1:11" x14ac:dyDescent="0.3">
      <c r="A1139">
        <v>57</v>
      </c>
      <c r="B1139" s="1" t="s">
        <v>45</v>
      </c>
      <c r="C1139" s="1" t="s">
        <v>26</v>
      </c>
      <c r="D1139">
        <v>596700</v>
      </c>
      <c r="E1139" s="3">
        <v>720403</v>
      </c>
      <c r="F1139">
        <v>83488</v>
      </c>
      <c r="G1139">
        <v>76</v>
      </c>
      <c r="H1139">
        <v>75047</v>
      </c>
      <c r="I1139">
        <v>17207</v>
      </c>
      <c r="J1139">
        <v>14472</v>
      </c>
      <c r="K1139">
        <v>2022</v>
      </c>
    </row>
    <row r="1140" spans="1:11" x14ac:dyDescent="0.3">
      <c r="A1140">
        <v>58</v>
      </c>
      <c r="B1140" s="1" t="s">
        <v>122</v>
      </c>
      <c r="C1140" s="1" t="s">
        <v>24</v>
      </c>
      <c r="D1140">
        <v>594820</v>
      </c>
      <c r="E1140" s="3">
        <v>770827</v>
      </c>
      <c r="F1140">
        <v>74276</v>
      </c>
      <c r="G1140">
        <v>80</v>
      </c>
      <c r="H1140">
        <v>33669</v>
      </c>
      <c r="I1140">
        <v>3189</v>
      </c>
      <c r="J1140">
        <v>18461</v>
      </c>
      <c r="K1140">
        <v>2022</v>
      </c>
    </row>
    <row r="1141" spans="1:11" x14ac:dyDescent="0.3">
      <c r="A1141">
        <v>59</v>
      </c>
      <c r="B1141" s="1" t="s">
        <v>65</v>
      </c>
      <c r="C1141" s="1" t="s">
        <v>55</v>
      </c>
      <c r="D1141">
        <v>593510</v>
      </c>
      <c r="E1141" s="3">
        <v>837826</v>
      </c>
      <c r="F1141">
        <v>67108</v>
      </c>
      <c r="G1141">
        <v>82</v>
      </c>
      <c r="H1141">
        <v>55924</v>
      </c>
      <c r="I1141">
        <v>23723</v>
      </c>
      <c r="J1141">
        <v>30003</v>
      </c>
      <c r="K1141">
        <v>2022</v>
      </c>
    </row>
    <row r="1142" spans="1:11" x14ac:dyDescent="0.3">
      <c r="A1142">
        <v>60</v>
      </c>
      <c r="B1142" s="1" t="s">
        <v>110</v>
      </c>
      <c r="C1142" s="1" t="s">
        <v>39</v>
      </c>
      <c r="D1142">
        <v>590360</v>
      </c>
      <c r="E1142" s="3">
        <v>573773</v>
      </c>
      <c r="F1142">
        <v>69088</v>
      </c>
      <c r="G1142">
        <v>72</v>
      </c>
      <c r="H1142">
        <v>91683</v>
      </c>
      <c r="I1142">
        <v>22929</v>
      </c>
      <c r="J1142">
        <v>24142</v>
      </c>
      <c r="K1142">
        <v>2022</v>
      </c>
    </row>
    <row r="1143" spans="1:11" x14ac:dyDescent="0.3">
      <c r="A1143">
        <v>61</v>
      </c>
      <c r="B1143" s="1" t="s">
        <v>50</v>
      </c>
      <c r="C1143" s="1" t="s">
        <v>39</v>
      </c>
      <c r="D1143">
        <v>589120</v>
      </c>
      <c r="E1143" s="3">
        <v>694772</v>
      </c>
      <c r="F1143">
        <v>83005</v>
      </c>
      <c r="G1143">
        <v>77</v>
      </c>
      <c r="H1143">
        <v>83327</v>
      </c>
      <c r="I1143">
        <v>68600</v>
      </c>
      <c r="J1143">
        <v>4437</v>
      </c>
      <c r="K1143">
        <v>2022</v>
      </c>
    </row>
    <row r="1144" spans="1:11" x14ac:dyDescent="0.3">
      <c r="A1144">
        <v>62</v>
      </c>
      <c r="B1144" s="1" t="s">
        <v>70</v>
      </c>
      <c r="C1144" s="1" t="s">
        <v>47</v>
      </c>
      <c r="D1144">
        <v>585680</v>
      </c>
      <c r="E1144" s="3">
        <v>641518</v>
      </c>
      <c r="F1144">
        <v>76404</v>
      </c>
      <c r="G1144">
        <v>74</v>
      </c>
      <c r="H1144">
        <v>75835</v>
      </c>
      <c r="I1144">
        <v>21864</v>
      </c>
      <c r="J1144">
        <v>4855</v>
      </c>
      <c r="K1144">
        <v>2022</v>
      </c>
    </row>
    <row r="1145" spans="1:11" x14ac:dyDescent="0.3">
      <c r="A1145">
        <v>63</v>
      </c>
      <c r="B1145" s="1" t="s">
        <v>83</v>
      </c>
      <c r="C1145" s="1" t="s">
        <v>26</v>
      </c>
      <c r="D1145">
        <v>584960</v>
      </c>
      <c r="E1145" s="3">
        <v>586501</v>
      </c>
      <c r="F1145">
        <v>79157</v>
      </c>
      <c r="G1145">
        <v>76</v>
      </c>
      <c r="H1145">
        <v>76602</v>
      </c>
      <c r="I1145">
        <v>17028</v>
      </c>
      <c r="J1145">
        <v>8977</v>
      </c>
      <c r="K1145">
        <v>2022</v>
      </c>
    </row>
    <row r="1146" spans="1:11" x14ac:dyDescent="0.3">
      <c r="A1146">
        <v>64</v>
      </c>
      <c r="B1146" s="1" t="s">
        <v>96</v>
      </c>
      <c r="C1146" s="1" t="s">
        <v>62</v>
      </c>
      <c r="D1146">
        <v>582850</v>
      </c>
      <c r="E1146" s="3">
        <v>483649</v>
      </c>
      <c r="F1146">
        <v>84056</v>
      </c>
      <c r="G1146">
        <v>75</v>
      </c>
      <c r="H1146">
        <v>93652</v>
      </c>
      <c r="I1146">
        <v>44485</v>
      </c>
      <c r="J1146">
        <v>4223</v>
      </c>
      <c r="K1146">
        <v>2022</v>
      </c>
    </row>
    <row r="1147" spans="1:11" x14ac:dyDescent="0.3">
      <c r="A1147">
        <v>65</v>
      </c>
      <c r="B1147" s="1" t="s">
        <v>77</v>
      </c>
      <c r="C1147" s="1" t="s">
        <v>62</v>
      </c>
      <c r="D1147">
        <v>582150</v>
      </c>
      <c r="E1147" s="3">
        <v>706956</v>
      </c>
      <c r="F1147">
        <v>87623</v>
      </c>
      <c r="G1147">
        <v>75</v>
      </c>
      <c r="H1147">
        <v>46192</v>
      </c>
      <c r="I1147">
        <v>8452</v>
      </c>
      <c r="J1147">
        <v>48057</v>
      </c>
      <c r="K1147">
        <v>2022</v>
      </c>
    </row>
    <row r="1148" spans="1:11" x14ac:dyDescent="0.3">
      <c r="A1148">
        <v>66</v>
      </c>
      <c r="B1148" s="1" t="s">
        <v>49</v>
      </c>
      <c r="C1148" s="1" t="s">
        <v>26</v>
      </c>
      <c r="D1148">
        <v>578060</v>
      </c>
      <c r="E1148" s="3">
        <v>657073</v>
      </c>
      <c r="F1148">
        <v>70354</v>
      </c>
      <c r="G1148">
        <v>78</v>
      </c>
      <c r="H1148">
        <v>73647</v>
      </c>
      <c r="I1148">
        <v>18617</v>
      </c>
      <c r="J1148">
        <v>13074</v>
      </c>
      <c r="K1148">
        <v>2022</v>
      </c>
    </row>
    <row r="1149" spans="1:11" x14ac:dyDescent="0.3">
      <c r="A1149">
        <v>67</v>
      </c>
      <c r="B1149" s="1" t="s">
        <v>116</v>
      </c>
      <c r="C1149" s="1" t="s">
        <v>47</v>
      </c>
      <c r="D1149">
        <v>576800</v>
      </c>
      <c r="E1149" s="3">
        <v>664551</v>
      </c>
      <c r="F1149">
        <v>80916</v>
      </c>
      <c r="G1149">
        <v>76</v>
      </c>
      <c r="H1149">
        <v>60556</v>
      </c>
      <c r="I1149">
        <v>52131</v>
      </c>
      <c r="J1149">
        <v>938</v>
      </c>
      <c r="K1149">
        <v>2022</v>
      </c>
    </row>
    <row r="1150" spans="1:11" x14ac:dyDescent="0.3">
      <c r="A1150">
        <v>68</v>
      </c>
      <c r="B1150" s="1" t="s">
        <v>120</v>
      </c>
      <c r="C1150" s="1" t="s">
        <v>55</v>
      </c>
      <c r="D1150">
        <v>576070</v>
      </c>
      <c r="E1150" s="3">
        <v>630479</v>
      </c>
      <c r="F1150">
        <v>90722</v>
      </c>
      <c r="G1150">
        <v>70</v>
      </c>
      <c r="H1150">
        <v>53758</v>
      </c>
      <c r="I1150">
        <v>52816</v>
      </c>
      <c r="J1150">
        <v>10095</v>
      </c>
      <c r="K1150">
        <v>2022</v>
      </c>
    </row>
    <row r="1151" spans="1:11" x14ac:dyDescent="0.3">
      <c r="A1151">
        <v>69</v>
      </c>
      <c r="B1151" s="1" t="s">
        <v>118</v>
      </c>
      <c r="C1151" s="1" t="s">
        <v>26</v>
      </c>
      <c r="D1151">
        <v>573720</v>
      </c>
      <c r="E1151" s="3">
        <v>695908</v>
      </c>
      <c r="F1151">
        <v>75982</v>
      </c>
      <c r="G1151">
        <v>74</v>
      </c>
      <c r="H1151">
        <v>81898</v>
      </c>
      <c r="I1151">
        <v>17961</v>
      </c>
      <c r="J1151">
        <v>30446</v>
      </c>
      <c r="K1151">
        <v>2022</v>
      </c>
    </row>
    <row r="1152" spans="1:11" x14ac:dyDescent="0.3">
      <c r="A1152">
        <v>70</v>
      </c>
      <c r="B1152" s="1" t="s">
        <v>79</v>
      </c>
      <c r="C1152" s="1" t="s">
        <v>39</v>
      </c>
      <c r="D1152">
        <v>571130</v>
      </c>
      <c r="E1152" s="3">
        <v>764581</v>
      </c>
      <c r="F1152">
        <v>71039</v>
      </c>
      <c r="G1152">
        <v>75</v>
      </c>
      <c r="H1152">
        <v>88411</v>
      </c>
      <c r="I1152">
        <v>45554</v>
      </c>
      <c r="J1152">
        <v>21412</v>
      </c>
      <c r="K1152">
        <v>2022</v>
      </c>
    </row>
    <row r="1153" spans="1:11" x14ac:dyDescent="0.3">
      <c r="A1153">
        <v>71</v>
      </c>
      <c r="B1153" s="1" t="s">
        <v>69</v>
      </c>
      <c r="C1153" s="1" t="s">
        <v>26</v>
      </c>
      <c r="D1153">
        <v>560030</v>
      </c>
      <c r="E1153" s="3">
        <v>568393</v>
      </c>
      <c r="F1153">
        <v>66661</v>
      </c>
      <c r="G1153">
        <v>73</v>
      </c>
      <c r="H1153">
        <v>84706</v>
      </c>
      <c r="I1153">
        <v>23856</v>
      </c>
      <c r="J1153">
        <v>10937</v>
      </c>
      <c r="K1153">
        <v>2022</v>
      </c>
    </row>
    <row r="1154" spans="1:11" x14ac:dyDescent="0.3">
      <c r="A1154">
        <v>72</v>
      </c>
      <c r="B1154" s="1" t="s">
        <v>104</v>
      </c>
      <c r="C1154" s="1" t="s">
        <v>55</v>
      </c>
      <c r="D1154">
        <v>558530</v>
      </c>
      <c r="E1154" s="3">
        <v>682742</v>
      </c>
      <c r="F1154">
        <v>72609</v>
      </c>
      <c r="G1154">
        <v>77</v>
      </c>
      <c r="H1154">
        <v>88709</v>
      </c>
      <c r="I1154">
        <v>21219</v>
      </c>
      <c r="J1154">
        <v>24242</v>
      </c>
      <c r="K1154">
        <v>2022</v>
      </c>
    </row>
    <row r="1155" spans="1:11" x14ac:dyDescent="0.3">
      <c r="A1155">
        <v>73</v>
      </c>
      <c r="B1155" s="1" t="s">
        <v>71</v>
      </c>
      <c r="C1155" s="1" t="s">
        <v>26</v>
      </c>
      <c r="D1155">
        <v>557830</v>
      </c>
      <c r="E1155" s="3">
        <v>637543</v>
      </c>
      <c r="F1155">
        <v>85633</v>
      </c>
      <c r="G1155">
        <v>75</v>
      </c>
      <c r="H1155">
        <v>84979</v>
      </c>
      <c r="I1155">
        <v>36596</v>
      </c>
      <c r="J1155">
        <v>10116</v>
      </c>
      <c r="K1155">
        <v>2022</v>
      </c>
    </row>
    <row r="1156" spans="1:11" x14ac:dyDescent="0.3">
      <c r="A1156">
        <v>74</v>
      </c>
      <c r="B1156" s="1" t="s">
        <v>76</v>
      </c>
      <c r="C1156" s="1" t="s">
        <v>26</v>
      </c>
      <c r="D1156">
        <v>555910</v>
      </c>
      <c r="E1156" s="3">
        <v>632524</v>
      </c>
      <c r="F1156">
        <v>65505</v>
      </c>
      <c r="G1156">
        <v>78</v>
      </c>
      <c r="H1156">
        <v>73680</v>
      </c>
      <c r="I1156">
        <v>19147</v>
      </c>
      <c r="J1156">
        <v>6305</v>
      </c>
      <c r="K1156">
        <v>2022</v>
      </c>
    </row>
    <row r="1157" spans="1:11" x14ac:dyDescent="0.3">
      <c r="A1157">
        <v>75</v>
      </c>
      <c r="B1157" s="1" t="s">
        <v>102</v>
      </c>
      <c r="C1157" s="1" t="s">
        <v>47</v>
      </c>
      <c r="D1157">
        <v>554680</v>
      </c>
      <c r="E1157" s="3">
        <v>712120</v>
      </c>
      <c r="F1157">
        <v>77533</v>
      </c>
      <c r="G1157">
        <v>76</v>
      </c>
      <c r="H1157">
        <v>62190</v>
      </c>
      <c r="I1157">
        <v>28808</v>
      </c>
      <c r="J1157">
        <v>13123</v>
      </c>
      <c r="K1157">
        <v>2022</v>
      </c>
    </row>
    <row r="1158" spans="1:11" x14ac:dyDescent="0.3">
      <c r="A1158">
        <v>76</v>
      </c>
      <c r="B1158" s="1" t="s">
        <v>66</v>
      </c>
      <c r="C1158" s="1" t="s">
        <v>26</v>
      </c>
      <c r="D1158">
        <v>553330</v>
      </c>
      <c r="E1158" s="3">
        <v>611796</v>
      </c>
      <c r="F1158">
        <v>66607</v>
      </c>
      <c r="G1158">
        <v>78</v>
      </c>
      <c r="H1158">
        <v>76310</v>
      </c>
      <c r="I1158">
        <v>17165</v>
      </c>
      <c r="J1158">
        <v>14163</v>
      </c>
      <c r="K1158">
        <v>2022</v>
      </c>
    </row>
    <row r="1159" spans="1:11" x14ac:dyDescent="0.3">
      <c r="A1159">
        <v>77</v>
      </c>
      <c r="B1159" s="1" t="s">
        <v>94</v>
      </c>
      <c r="C1159" s="1" t="s">
        <v>39</v>
      </c>
      <c r="D1159">
        <v>548500</v>
      </c>
      <c r="E1159" s="3">
        <v>566806</v>
      </c>
      <c r="F1159">
        <v>70576</v>
      </c>
      <c r="G1159">
        <v>75</v>
      </c>
      <c r="H1159">
        <v>95532</v>
      </c>
      <c r="I1159">
        <v>30553</v>
      </c>
      <c r="J1159">
        <v>17950</v>
      </c>
      <c r="K1159">
        <v>2022</v>
      </c>
    </row>
    <row r="1160" spans="1:11" x14ac:dyDescent="0.3">
      <c r="A1160">
        <v>78</v>
      </c>
      <c r="B1160" s="1" t="s">
        <v>88</v>
      </c>
      <c r="C1160" s="1" t="s">
        <v>62</v>
      </c>
      <c r="D1160">
        <v>547430</v>
      </c>
      <c r="E1160" s="3">
        <v>671819</v>
      </c>
      <c r="F1160">
        <v>99927</v>
      </c>
      <c r="G1160">
        <v>72</v>
      </c>
      <c r="H1160">
        <v>87696</v>
      </c>
      <c r="I1160">
        <v>67169</v>
      </c>
      <c r="J1160">
        <v>5386</v>
      </c>
      <c r="K1160">
        <v>2022</v>
      </c>
    </row>
    <row r="1161" spans="1:11" x14ac:dyDescent="0.3">
      <c r="A1161">
        <v>80</v>
      </c>
      <c r="B1161" s="1" t="s">
        <v>82</v>
      </c>
      <c r="C1161" s="1" t="s">
        <v>62</v>
      </c>
      <c r="D1161">
        <v>545860</v>
      </c>
      <c r="E1161" s="3">
        <v>762519</v>
      </c>
      <c r="F1161">
        <v>82975</v>
      </c>
      <c r="G1161">
        <v>74</v>
      </c>
      <c r="H1161">
        <v>54241</v>
      </c>
      <c r="I1161">
        <v>25053</v>
      </c>
      <c r="J1161">
        <v>13602</v>
      </c>
      <c r="K1161">
        <v>2022</v>
      </c>
    </row>
    <row r="1162" spans="1:11" x14ac:dyDescent="0.3">
      <c r="A1162">
        <v>81</v>
      </c>
      <c r="B1162" s="1" t="s">
        <v>91</v>
      </c>
      <c r="C1162" s="1" t="s">
        <v>55</v>
      </c>
      <c r="D1162">
        <v>542480</v>
      </c>
      <c r="E1162" s="3">
        <v>885912</v>
      </c>
      <c r="F1162">
        <v>72298</v>
      </c>
      <c r="G1162">
        <v>85</v>
      </c>
      <c r="H1162">
        <v>54097</v>
      </c>
      <c r="I1162">
        <v>31356</v>
      </c>
      <c r="J1162">
        <v>65224</v>
      </c>
      <c r="K1162">
        <v>2022</v>
      </c>
    </row>
    <row r="1163" spans="1:11" x14ac:dyDescent="0.3">
      <c r="A1163">
        <v>82</v>
      </c>
      <c r="B1163" s="1" t="s">
        <v>147</v>
      </c>
      <c r="C1163" s="1" t="s">
        <v>62</v>
      </c>
      <c r="D1163">
        <v>539860</v>
      </c>
      <c r="E1163" s="3">
        <v>649102</v>
      </c>
      <c r="F1163">
        <v>62118</v>
      </c>
      <c r="G1163">
        <v>76</v>
      </c>
      <c r="H1163">
        <v>75348</v>
      </c>
      <c r="I1163">
        <v>11645</v>
      </c>
      <c r="J1163">
        <v>35769</v>
      </c>
      <c r="K1163">
        <v>2022</v>
      </c>
    </row>
    <row r="1164" spans="1:11" x14ac:dyDescent="0.3">
      <c r="A1164">
        <v>83</v>
      </c>
      <c r="B1164" s="1" t="s">
        <v>126</v>
      </c>
      <c r="C1164" s="1" t="s">
        <v>62</v>
      </c>
      <c r="D1164">
        <v>537710</v>
      </c>
      <c r="E1164" s="3">
        <v>437416</v>
      </c>
      <c r="F1164">
        <v>76155</v>
      </c>
      <c r="G1164">
        <v>72</v>
      </c>
      <c r="H1164">
        <v>77231</v>
      </c>
      <c r="I1164">
        <v>25127</v>
      </c>
      <c r="J1164">
        <v>51789</v>
      </c>
      <c r="K1164">
        <v>2022</v>
      </c>
    </row>
    <row r="1165" spans="1:11" x14ac:dyDescent="0.3">
      <c r="A1165">
        <v>84</v>
      </c>
      <c r="B1165" s="1" t="s">
        <v>141</v>
      </c>
      <c r="C1165" s="1" t="s">
        <v>99</v>
      </c>
      <c r="D1165">
        <v>537650</v>
      </c>
      <c r="E1165" s="3">
        <v>445594</v>
      </c>
      <c r="F1165">
        <v>59380</v>
      </c>
      <c r="G1165">
        <v>71</v>
      </c>
      <c r="H1165">
        <v>70065</v>
      </c>
      <c r="I1165">
        <v>50597</v>
      </c>
      <c r="J1165">
        <v>22120</v>
      </c>
      <c r="K1165">
        <v>2022</v>
      </c>
    </row>
    <row r="1166" spans="1:11" x14ac:dyDescent="0.3">
      <c r="A1166">
        <v>85</v>
      </c>
      <c r="B1166" s="1" t="s">
        <v>154</v>
      </c>
      <c r="C1166" s="1" t="s">
        <v>47</v>
      </c>
      <c r="D1166">
        <v>537090</v>
      </c>
      <c r="E1166" s="3">
        <v>735471</v>
      </c>
      <c r="F1166">
        <v>88104</v>
      </c>
      <c r="G1166">
        <v>76</v>
      </c>
      <c r="H1166">
        <v>76056</v>
      </c>
      <c r="I1166">
        <v>26345</v>
      </c>
      <c r="J1166">
        <v>3616</v>
      </c>
      <c r="K1166">
        <v>2022</v>
      </c>
    </row>
    <row r="1167" spans="1:11" x14ac:dyDescent="0.3">
      <c r="A1167">
        <v>86</v>
      </c>
      <c r="B1167" s="1" t="s">
        <v>81</v>
      </c>
      <c r="C1167" s="1" t="s">
        <v>24</v>
      </c>
      <c r="D1167">
        <v>533020</v>
      </c>
      <c r="E1167" s="3">
        <v>667955</v>
      </c>
      <c r="F1167">
        <v>71413</v>
      </c>
      <c r="G1167">
        <v>74</v>
      </c>
      <c r="H1167">
        <v>64394</v>
      </c>
      <c r="I1167">
        <v>22644</v>
      </c>
      <c r="J1167">
        <v>30577</v>
      </c>
      <c r="K1167">
        <v>2022</v>
      </c>
    </row>
    <row r="1168" spans="1:11" x14ac:dyDescent="0.3">
      <c r="A1168">
        <v>87</v>
      </c>
      <c r="B1168" s="1" t="s">
        <v>93</v>
      </c>
      <c r="C1168" s="1" t="s">
        <v>39</v>
      </c>
      <c r="D1168">
        <v>523960</v>
      </c>
      <c r="E1168" s="3">
        <v>625498</v>
      </c>
      <c r="F1168">
        <v>66891</v>
      </c>
      <c r="G1168">
        <v>72</v>
      </c>
      <c r="H1168">
        <v>83815</v>
      </c>
      <c r="I1168">
        <v>100000</v>
      </c>
      <c r="J1168">
        <v>8059</v>
      </c>
      <c r="K1168">
        <v>2022</v>
      </c>
    </row>
    <row r="1169" spans="1:11" x14ac:dyDescent="0.3">
      <c r="A1169">
        <v>88</v>
      </c>
      <c r="B1169" s="1" t="s">
        <v>171</v>
      </c>
      <c r="C1169" s="1" t="s">
        <v>90</v>
      </c>
      <c r="D1169">
        <v>523460</v>
      </c>
      <c r="E1169" s="3">
        <v>495177</v>
      </c>
      <c r="F1169">
        <v>33518</v>
      </c>
      <c r="G1169">
        <v>66</v>
      </c>
      <c r="H1169">
        <v>60954</v>
      </c>
      <c r="I1169">
        <v>31823</v>
      </c>
      <c r="J1169">
        <v>21080</v>
      </c>
      <c r="K1169">
        <v>2022</v>
      </c>
    </row>
    <row r="1170" spans="1:11" x14ac:dyDescent="0.3">
      <c r="A1170">
        <v>89</v>
      </c>
      <c r="B1170" s="1" t="s">
        <v>191</v>
      </c>
      <c r="C1170" s="1" t="s">
        <v>47</v>
      </c>
      <c r="D1170">
        <v>519900</v>
      </c>
      <c r="E1170" s="3">
        <v>681012</v>
      </c>
      <c r="F1170">
        <v>65355</v>
      </c>
      <c r="G1170">
        <v>75</v>
      </c>
      <c r="H1170">
        <v>65875</v>
      </c>
      <c r="I1170">
        <v>45974</v>
      </c>
      <c r="J1170">
        <v>5283</v>
      </c>
      <c r="K1170">
        <v>2022</v>
      </c>
    </row>
    <row r="1171" spans="1:11" x14ac:dyDescent="0.3">
      <c r="A1171">
        <v>90</v>
      </c>
      <c r="B1171" s="1" t="s">
        <v>115</v>
      </c>
      <c r="C1171" s="1" t="s">
        <v>47</v>
      </c>
      <c r="D1171">
        <v>519880</v>
      </c>
      <c r="E1171" s="3">
        <v>651098</v>
      </c>
      <c r="F1171">
        <v>48923</v>
      </c>
      <c r="G1171">
        <v>78</v>
      </c>
      <c r="H1171">
        <v>69039</v>
      </c>
      <c r="I1171">
        <v>29574</v>
      </c>
      <c r="J1171">
        <v>4836</v>
      </c>
      <c r="K1171">
        <v>2022</v>
      </c>
    </row>
    <row r="1172" spans="1:11" x14ac:dyDescent="0.3">
      <c r="A1172">
        <v>91</v>
      </c>
      <c r="B1172" s="1" t="s">
        <v>133</v>
      </c>
      <c r="C1172" s="1" t="s">
        <v>90</v>
      </c>
      <c r="D1172">
        <v>519390</v>
      </c>
      <c r="E1172" s="3">
        <v>644950</v>
      </c>
      <c r="F1172">
        <v>82447</v>
      </c>
      <c r="G1172">
        <v>67</v>
      </c>
      <c r="H1172">
        <v>59743</v>
      </c>
      <c r="I1172">
        <v>18991</v>
      </c>
      <c r="J1172">
        <v>7846</v>
      </c>
      <c r="K1172">
        <v>2022</v>
      </c>
    </row>
    <row r="1173" spans="1:11" x14ac:dyDescent="0.3">
      <c r="A1173">
        <v>92</v>
      </c>
      <c r="B1173" s="1" t="s">
        <v>100</v>
      </c>
      <c r="C1173" s="1" t="s">
        <v>62</v>
      </c>
      <c r="D1173">
        <v>517340</v>
      </c>
      <c r="E1173" s="3">
        <v>659900</v>
      </c>
      <c r="F1173">
        <v>82811</v>
      </c>
      <c r="G1173">
        <v>73</v>
      </c>
      <c r="H1173">
        <v>81198</v>
      </c>
      <c r="I1173">
        <v>5007</v>
      </c>
      <c r="J1173">
        <v>58051</v>
      </c>
      <c r="K1173">
        <v>2022</v>
      </c>
    </row>
    <row r="1174" spans="1:11" x14ac:dyDescent="0.3">
      <c r="A1174">
        <v>93</v>
      </c>
      <c r="B1174" s="1" t="s">
        <v>189</v>
      </c>
      <c r="C1174" s="1" t="s">
        <v>90</v>
      </c>
      <c r="D1174">
        <v>516360</v>
      </c>
      <c r="E1174" s="3">
        <v>355224</v>
      </c>
      <c r="F1174">
        <v>47015</v>
      </c>
      <c r="G1174">
        <v>67</v>
      </c>
      <c r="H1174">
        <v>49644</v>
      </c>
      <c r="I1174">
        <v>82926</v>
      </c>
      <c r="J1174">
        <v>17472</v>
      </c>
      <c r="K1174">
        <v>2022</v>
      </c>
    </row>
    <row r="1175" spans="1:11" x14ac:dyDescent="0.3">
      <c r="A1175">
        <v>94</v>
      </c>
      <c r="B1175" s="1" t="s">
        <v>129</v>
      </c>
      <c r="C1175" s="1" t="s">
        <v>99</v>
      </c>
      <c r="D1175">
        <v>515550</v>
      </c>
      <c r="E1175" s="3">
        <v>479885</v>
      </c>
      <c r="F1175">
        <v>46496</v>
      </c>
      <c r="G1175">
        <v>74</v>
      </c>
      <c r="H1175">
        <v>84087</v>
      </c>
      <c r="I1175">
        <v>26700</v>
      </c>
      <c r="J1175">
        <v>31816</v>
      </c>
      <c r="K1175">
        <v>2022</v>
      </c>
    </row>
    <row r="1176" spans="1:11" x14ac:dyDescent="0.3">
      <c r="A1176">
        <v>95</v>
      </c>
      <c r="B1176" s="1" t="s">
        <v>119</v>
      </c>
      <c r="C1176" s="1" t="s">
        <v>55</v>
      </c>
      <c r="D1176">
        <v>514030</v>
      </c>
      <c r="E1176" s="3">
        <v>560693</v>
      </c>
      <c r="F1176">
        <v>49568</v>
      </c>
      <c r="G1176">
        <v>71</v>
      </c>
      <c r="H1176">
        <v>91760</v>
      </c>
      <c r="I1176">
        <v>42001</v>
      </c>
      <c r="J1176">
        <v>31355</v>
      </c>
      <c r="K1176">
        <v>2022</v>
      </c>
    </row>
    <row r="1177" spans="1:11" x14ac:dyDescent="0.3">
      <c r="A1177">
        <v>96</v>
      </c>
      <c r="B1177" s="1" t="s">
        <v>187</v>
      </c>
      <c r="C1177" s="1" t="s">
        <v>90</v>
      </c>
      <c r="D1177">
        <v>512230</v>
      </c>
      <c r="E1177" s="3">
        <v>616812</v>
      </c>
      <c r="F1177">
        <v>73461</v>
      </c>
      <c r="G1177">
        <v>76</v>
      </c>
      <c r="H1177">
        <v>19727</v>
      </c>
      <c r="I1177">
        <v>22752</v>
      </c>
      <c r="J1177">
        <v>25535</v>
      </c>
      <c r="K1177">
        <v>2022</v>
      </c>
    </row>
    <row r="1178" spans="1:11" x14ac:dyDescent="0.3">
      <c r="A1178">
        <v>97</v>
      </c>
      <c r="B1178" s="1" t="s">
        <v>136</v>
      </c>
      <c r="C1178" s="1" t="s">
        <v>90</v>
      </c>
      <c r="D1178">
        <v>512150</v>
      </c>
      <c r="E1178" s="3">
        <v>287687</v>
      </c>
      <c r="F1178">
        <v>50761</v>
      </c>
      <c r="G1178">
        <v>65</v>
      </c>
      <c r="H1178">
        <v>54778</v>
      </c>
      <c r="I1178">
        <v>38012</v>
      </c>
      <c r="J1178">
        <v>13557</v>
      </c>
      <c r="K1178">
        <v>2022</v>
      </c>
    </row>
    <row r="1179" spans="1:11" x14ac:dyDescent="0.3">
      <c r="A1179">
        <v>98</v>
      </c>
      <c r="B1179" s="1" t="s">
        <v>131</v>
      </c>
      <c r="C1179" s="1" t="s">
        <v>62</v>
      </c>
      <c r="D1179">
        <v>508410</v>
      </c>
      <c r="E1179" s="3">
        <v>638770</v>
      </c>
      <c r="F1179">
        <v>81866</v>
      </c>
      <c r="G1179">
        <v>74</v>
      </c>
      <c r="H1179">
        <v>63917</v>
      </c>
      <c r="I1179">
        <v>40253</v>
      </c>
      <c r="J1179">
        <v>2865</v>
      </c>
      <c r="K1179">
        <v>2022</v>
      </c>
    </row>
    <row r="1180" spans="1:11" x14ac:dyDescent="0.3">
      <c r="A1180">
        <v>99</v>
      </c>
      <c r="B1180" s="1" t="s">
        <v>192</v>
      </c>
      <c r="C1180" s="1" t="s">
        <v>90</v>
      </c>
      <c r="D1180">
        <v>507520</v>
      </c>
      <c r="E1180" s="3">
        <v>430155</v>
      </c>
      <c r="F1180">
        <v>30696</v>
      </c>
      <c r="G1180">
        <v>67</v>
      </c>
      <c r="H1180">
        <v>58221</v>
      </c>
      <c r="I1180">
        <v>27791</v>
      </c>
      <c r="J1180">
        <v>24819</v>
      </c>
      <c r="K1180">
        <v>2022</v>
      </c>
    </row>
    <row r="1181" spans="1:11" x14ac:dyDescent="0.3">
      <c r="A1181">
        <v>100</v>
      </c>
      <c r="B1181" s="1" t="s">
        <v>112</v>
      </c>
      <c r="C1181" s="1" t="s">
        <v>24</v>
      </c>
      <c r="D1181">
        <v>505990</v>
      </c>
      <c r="E1181" s="3">
        <v>546755</v>
      </c>
      <c r="F1181">
        <v>20288</v>
      </c>
      <c r="G1181">
        <v>73</v>
      </c>
      <c r="H1181">
        <v>66525</v>
      </c>
      <c r="I1181">
        <v>4310</v>
      </c>
      <c r="J1181">
        <v>17332</v>
      </c>
      <c r="K1181">
        <v>2022</v>
      </c>
    </row>
    <row r="1182" spans="1:11" x14ac:dyDescent="0.3">
      <c r="A1182">
        <v>101</v>
      </c>
      <c r="B1182" s="1" t="s">
        <v>114</v>
      </c>
      <c r="C1182" s="1" t="s">
        <v>90</v>
      </c>
      <c r="D1182">
        <v>504830</v>
      </c>
      <c r="E1182" s="3">
        <v>261740</v>
      </c>
      <c r="F1182">
        <v>49979</v>
      </c>
      <c r="G1182">
        <v>62</v>
      </c>
      <c r="H1182">
        <v>80130</v>
      </c>
      <c r="I1182">
        <v>39563</v>
      </c>
      <c r="J1182">
        <v>34028</v>
      </c>
      <c r="K1182">
        <v>2022</v>
      </c>
    </row>
    <row r="1183" spans="1:11" x14ac:dyDescent="0.3">
      <c r="A1183">
        <v>102</v>
      </c>
      <c r="B1183" s="1" t="s">
        <v>153</v>
      </c>
      <c r="C1183" s="1" t="s">
        <v>90</v>
      </c>
      <c r="D1183">
        <v>504760</v>
      </c>
      <c r="E1183" s="3">
        <v>438139</v>
      </c>
      <c r="F1183">
        <v>50890</v>
      </c>
      <c r="G1183">
        <v>66</v>
      </c>
      <c r="H1183">
        <v>53663</v>
      </c>
      <c r="I1183">
        <v>32437</v>
      </c>
      <c r="J1183">
        <v>12537</v>
      </c>
      <c r="K1183">
        <v>2022</v>
      </c>
    </row>
    <row r="1184" spans="1:11" x14ac:dyDescent="0.3">
      <c r="A1184">
        <v>103</v>
      </c>
      <c r="B1184" s="1" t="s">
        <v>162</v>
      </c>
      <c r="C1184" s="1" t="s">
        <v>90</v>
      </c>
      <c r="D1184">
        <v>504610</v>
      </c>
      <c r="E1184" s="3">
        <v>422160</v>
      </c>
      <c r="F1184">
        <v>40137</v>
      </c>
      <c r="G1184">
        <v>70</v>
      </c>
      <c r="H1184">
        <v>66712</v>
      </c>
      <c r="I1184">
        <v>30647</v>
      </c>
      <c r="J1184">
        <v>13746</v>
      </c>
      <c r="K1184">
        <v>2022</v>
      </c>
    </row>
    <row r="1185" spans="1:11" x14ac:dyDescent="0.3">
      <c r="A1185">
        <v>104</v>
      </c>
      <c r="B1185" s="1" t="s">
        <v>164</v>
      </c>
      <c r="C1185" s="1" t="s">
        <v>90</v>
      </c>
      <c r="D1185">
        <v>500350</v>
      </c>
      <c r="E1185" s="3">
        <v>257932</v>
      </c>
      <c r="F1185">
        <v>42432</v>
      </c>
      <c r="G1185">
        <v>66</v>
      </c>
      <c r="H1185">
        <v>77202</v>
      </c>
      <c r="I1185">
        <v>35183</v>
      </c>
      <c r="J1185">
        <v>24677</v>
      </c>
      <c r="K1185">
        <v>2022</v>
      </c>
    </row>
    <row r="1186" spans="1:11" x14ac:dyDescent="0.3">
      <c r="A1186">
        <v>105</v>
      </c>
      <c r="B1186" s="1" t="s">
        <v>150</v>
      </c>
      <c r="C1186" s="1" t="s">
        <v>62</v>
      </c>
      <c r="D1186">
        <v>497320</v>
      </c>
      <c r="E1186" s="3">
        <v>664092</v>
      </c>
      <c r="F1186">
        <v>46345</v>
      </c>
      <c r="G1186">
        <v>74</v>
      </c>
      <c r="H1186">
        <v>68636</v>
      </c>
      <c r="I1186">
        <v>0</v>
      </c>
      <c r="J1186">
        <v>35489</v>
      </c>
      <c r="K1186">
        <v>2022</v>
      </c>
    </row>
    <row r="1187" spans="1:11" x14ac:dyDescent="0.3">
      <c r="A1187">
        <v>106</v>
      </c>
      <c r="B1187" s="1" t="s">
        <v>163</v>
      </c>
      <c r="C1187" s="1" t="s">
        <v>90</v>
      </c>
      <c r="D1187">
        <v>495830</v>
      </c>
      <c r="E1187" s="3">
        <v>660452</v>
      </c>
      <c r="F1187">
        <v>55890</v>
      </c>
      <c r="G1187">
        <v>68</v>
      </c>
      <c r="H1187">
        <v>46375</v>
      </c>
      <c r="I1187">
        <v>6897</v>
      </c>
      <c r="J1187">
        <v>16805</v>
      </c>
      <c r="K1187">
        <v>2022</v>
      </c>
    </row>
    <row r="1188" spans="1:11" x14ac:dyDescent="0.3">
      <c r="A1188">
        <v>107</v>
      </c>
      <c r="B1188" s="1" t="s">
        <v>132</v>
      </c>
      <c r="C1188" s="1" t="s">
        <v>24</v>
      </c>
      <c r="D1188">
        <v>494090</v>
      </c>
      <c r="E1188" s="3">
        <v>583318</v>
      </c>
      <c r="F1188">
        <v>51697</v>
      </c>
      <c r="G1188">
        <v>73</v>
      </c>
      <c r="H1188">
        <v>44382</v>
      </c>
      <c r="I1188">
        <v>31357</v>
      </c>
      <c r="J1188">
        <v>7829</v>
      </c>
      <c r="K1188">
        <v>2022</v>
      </c>
    </row>
    <row r="1189" spans="1:11" x14ac:dyDescent="0.3">
      <c r="A1189">
        <v>108</v>
      </c>
      <c r="B1189" s="1" t="s">
        <v>37</v>
      </c>
      <c r="C1189" s="1" t="s">
        <v>26</v>
      </c>
      <c r="D1189">
        <v>492550</v>
      </c>
      <c r="E1189" s="3">
        <v>0</v>
      </c>
      <c r="F1189">
        <v>73330</v>
      </c>
      <c r="G1189">
        <v>74</v>
      </c>
      <c r="H1189">
        <v>38197</v>
      </c>
      <c r="I1189">
        <v>48141</v>
      </c>
      <c r="J1189">
        <v>13911</v>
      </c>
      <c r="K1189">
        <v>2022</v>
      </c>
    </row>
    <row r="1190" spans="1:11" x14ac:dyDescent="0.3">
      <c r="A1190">
        <v>109</v>
      </c>
      <c r="B1190" s="1" t="s">
        <v>170</v>
      </c>
      <c r="C1190" s="1" t="s">
        <v>90</v>
      </c>
      <c r="D1190">
        <v>489050</v>
      </c>
      <c r="E1190" s="3">
        <v>383884</v>
      </c>
      <c r="F1190">
        <v>42911</v>
      </c>
      <c r="G1190">
        <v>64</v>
      </c>
      <c r="H1190">
        <v>45107</v>
      </c>
      <c r="I1190">
        <v>45685</v>
      </c>
      <c r="J1190">
        <v>19699</v>
      </c>
      <c r="K1190">
        <v>2022</v>
      </c>
    </row>
    <row r="1191" spans="1:11" x14ac:dyDescent="0.3">
      <c r="A1191">
        <v>110</v>
      </c>
      <c r="B1191" s="1" t="s">
        <v>130</v>
      </c>
      <c r="C1191" s="1" t="s">
        <v>24</v>
      </c>
      <c r="D1191">
        <v>488790</v>
      </c>
      <c r="E1191" s="3">
        <v>638063</v>
      </c>
      <c r="F1191">
        <v>56114</v>
      </c>
      <c r="G1191">
        <v>76</v>
      </c>
      <c r="H1191">
        <v>38018</v>
      </c>
      <c r="I1191">
        <v>51501</v>
      </c>
      <c r="J1191">
        <v>24950</v>
      </c>
      <c r="K1191">
        <v>2022</v>
      </c>
    </row>
    <row r="1192" spans="1:11" x14ac:dyDescent="0.3">
      <c r="A1192">
        <v>111</v>
      </c>
      <c r="B1192" s="1" t="s">
        <v>134</v>
      </c>
      <c r="C1192" s="1" t="s">
        <v>90</v>
      </c>
      <c r="D1192">
        <v>487200</v>
      </c>
      <c r="E1192" s="3">
        <v>503084</v>
      </c>
      <c r="F1192">
        <v>45075</v>
      </c>
      <c r="G1192">
        <v>68</v>
      </c>
      <c r="H1192">
        <v>67498</v>
      </c>
      <c r="I1192">
        <v>49054</v>
      </c>
      <c r="J1192">
        <v>9471</v>
      </c>
      <c r="K1192">
        <v>2022</v>
      </c>
    </row>
    <row r="1193" spans="1:11" x14ac:dyDescent="0.3">
      <c r="A1193">
        <v>112</v>
      </c>
      <c r="B1193" s="1" t="s">
        <v>95</v>
      </c>
      <c r="C1193" s="1" t="s">
        <v>24</v>
      </c>
      <c r="D1193">
        <v>474420</v>
      </c>
      <c r="E1193" s="3">
        <v>772532</v>
      </c>
      <c r="F1193">
        <v>65551</v>
      </c>
      <c r="G1193">
        <v>77</v>
      </c>
      <c r="H1193">
        <v>28250</v>
      </c>
      <c r="I1193">
        <v>18641</v>
      </c>
      <c r="J1193">
        <v>19590</v>
      </c>
      <c r="K1193">
        <v>2022</v>
      </c>
    </row>
    <row r="1194" spans="1:11" x14ac:dyDescent="0.3">
      <c r="A1194">
        <v>113</v>
      </c>
      <c r="B1194" s="1" t="s">
        <v>172</v>
      </c>
      <c r="C1194" s="1" t="s">
        <v>90</v>
      </c>
      <c r="D1194">
        <v>467050</v>
      </c>
      <c r="E1194" s="3">
        <v>352631</v>
      </c>
      <c r="F1194">
        <v>42800</v>
      </c>
      <c r="G1194">
        <v>66</v>
      </c>
      <c r="H1194">
        <v>51635</v>
      </c>
      <c r="I1194">
        <v>39847</v>
      </c>
      <c r="J1194">
        <v>21393</v>
      </c>
      <c r="K1194">
        <v>2022</v>
      </c>
    </row>
    <row r="1195" spans="1:11" x14ac:dyDescent="0.3">
      <c r="A1195">
        <v>114</v>
      </c>
      <c r="B1195" s="1" t="s">
        <v>165</v>
      </c>
      <c r="C1195" s="1" t="s">
        <v>39</v>
      </c>
      <c r="D1195">
        <v>464030</v>
      </c>
      <c r="E1195" s="3">
        <v>461278</v>
      </c>
      <c r="F1195">
        <v>55466</v>
      </c>
      <c r="G1195">
        <v>71</v>
      </c>
      <c r="H1195">
        <v>100000</v>
      </c>
      <c r="I1195">
        <v>35465</v>
      </c>
      <c r="J1195">
        <v>11574</v>
      </c>
      <c r="K1195">
        <v>2022</v>
      </c>
    </row>
    <row r="1196" spans="1:11" x14ac:dyDescent="0.3">
      <c r="A1196">
        <v>115</v>
      </c>
      <c r="B1196" s="1" t="s">
        <v>175</v>
      </c>
      <c r="C1196" s="1" t="s">
        <v>90</v>
      </c>
      <c r="D1196">
        <v>462320</v>
      </c>
      <c r="E1196" s="3">
        <v>421715</v>
      </c>
      <c r="F1196">
        <v>4829</v>
      </c>
      <c r="G1196">
        <v>66</v>
      </c>
      <c r="H1196">
        <v>64703</v>
      </c>
      <c r="I1196">
        <v>27082</v>
      </c>
      <c r="J1196">
        <v>39135</v>
      </c>
      <c r="K1196">
        <v>2022</v>
      </c>
    </row>
    <row r="1197" spans="1:11" x14ac:dyDescent="0.3">
      <c r="A1197">
        <v>116</v>
      </c>
      <c r="B1197" s="1" t="s">
        <v>160</v>
      </c>
      <c r="C1197" s="1" t="s">
        <v>90</v>
      </c>
      <c r="D1197">
        <v>460860</v>
      </c>
      <c r="E1197" s="3">
        <v>407074</v>
      </c>
      <c r="F1197">
        <v>36074</v>
      </c>
      <c r="G1197">
        <v>69</v>
      </c>
      <c r="H1197">
        <v>25040</v>
      </c>
      <c r="I1197">
        <v>41567</v>
      </c>
      <c r="J1197">
        <v>21357</v>
      </c>
      <c r="K1197">
        <v>2022</v>
      </c>
    </row>
    <row r="1198" spans="1:11" x14ac:dyDescent="0.3">
      <c r="A1198">
        <v>117</v>
      </c>
      <c r="B1198" s="1" t="s">
        <v>161</v>
      </c>
      <c r="C1198" s="1" t="s">
        <v>90</v>
      </c>
      <c r="D1198">
        <v>460260</v>
      </c>
      <c r="E1198" s="3">
        <v>351766</v>
      </c>
      <c r="F1198">
        <v>66312</v>
      </c>
      <c r="G1198">
        <v>69</v>
      </c>
      <c r="H1198">
        <v>54361</v>
      </c>
      <c r="I1198">
        <v>47437</v>
      </c>
      <c r="J1198">
        <v>11295</v>
      </c>
      <c r="K1198">
        <v>2022</v>
      </c>
    </row>
    <row r="1199" spans="1:11" x14ac:dyDescent="0.3">
      <c r="A1199">
        <v>118</v>
      </c>
      <c r="B1199" s="1" t="s">
        <v>97</v>
      </c>
      <c r="C1199" s="1" t="s">
        <v>90</v>
      </c>
      <c r="D1199">
        <v>455200</v>
      </c>
      <c r="E1199" s="3">
        <v>488582</v>
      </c>
      <c r="F1199">
        <v>55470</v>
      </c>
      <c r="G1199">
        <v>65</v>
      </c>
      <c r="H1199">
        <v>60046</v>
      </c>
      <c r="I1199">
        <v>37306</v>
      </c>
      <c r="J1199">
        <v>6395</v>
      </c>
      <c r="K1199">
        <v>2022</v>
      </c>
    </row>
    <row r="1200" spans="1:11" x14ac:dyDescent="0.3">
      <c r="A1200">
        <v>119</v>
      </c>
      <c r="B1200" s="1" t="s">
        <v>145</v>
      </c>
      <c r="C1200" s="1" t="s">
        <v>90</v>
      </c>
      <c r="D1200">
        <v>454300</v>
      </c>
      <c r="E1200" s="3">
        <v>466892</v>
      </c>
      <c r="F1200">
        <v>45842</v>
      </c>
      <c r="G1200">
        <v>68</v>
      </c>
      <c r="H1200">
        <v>59452</v>
      </c>
      <c r="I1200">
        <v>68762</v>
      </c>
      <c r="J1200">
        <v>13999</v>
      </c>
      <c r="K1200">
        <v>2022</v>
      </c>
    </row>
    <row r="1201" spans="1:11" x14ac:dyDescent="0.3">
      <c r="A1201">
        <v>120</v>
      </c>
      <c r="B1201" s="1" t="s">
        <v>127</v>
      </c>
      <c r="C1201" s="1" t="s">
        <v>24</v>
      </c>
      <c r="D1201">
        <v>451600</v>
      </c>
      <c r="E1201" s="3">
        <v>610961</v>
      </c>
      <c r="F1201">
        <v>45179</v>
      </c>
      <c r="G1201">
        <v>76</v>
      </c>
      <c r="H1201">
        <v>42687</v>
      </c>
      <c r="I1201">
        <v>6175</v>
      </c>
      <c r="J1201">
        <v>4965</v>
      </c>
      <c r="K1201">
        <v>2022</v>
      </c>
    </row>
    <row r="1202" spans="1:11" x14ac:dyDescent="0.3">
      <c r="A1202">
        <v>121</v>
      </c>
      <c r="B1202" s="1" t="s">
        <v>101</v>
      </c>
      <c r="C1202" s="1" t="s">
        <v>99</v>
      </c>
      <c r="D1202">
        <v>451580</v>
      </c>
      <c r="E1202" s="3">
        <v>474669</v>
      </c>
      <c r="F1202">
        <v>31258</v>
      </c>
      <c r="G1202">
        <v>67</v>
      </c>
      <c r="H1202">
        <v>60506</v>
      </c>
      <c r="I1202">
        <v>38691</v>
      </c>
      <c r="J1202">
        <v>19033</v>
      </c>
      <c r="K1202">
        <v>2022</v>
      </c>
    </row>
    <row r="1203" spans="1:11" x14ac:dyDescent="0.3">
      <c r="A1203">
        <v>122</v>
      </c>
      <c r="B1203" s="1" t="s">
        <v>128</v>
      </c>
      <c r="C1203" s="1" t="s">
        <v>24</v>
      </c>
      <c r="D1203">
        <v>448250</v>
      </c>
      <c r="E1203" s="3">
        <v>519565</v>
      </c>
      <c r="F1203">
        <v>72522</v>
      </c>
      <c r="G1203">
        <v>72</v>
      </c>
      <c r="H1203">
        <v>45454</v>
      </c>
      <c r="I1203">
        <v>15634</v>
      </c>
      <c r="J1203">
        <v>13538</v>
      </c>
      <c r="K1203">
        <v>2022</v>
      </c>
    </row>
    <row r="1204" spans="1:11" x14ac:dyDescent="0.3">
      <c r="A1204">
        <v>123</v>
      </c>
      <c r="B1204" s="1" t="s">
        <v>158</v>
      </c>
      <c r="C1204" s="1" t="s">
        <v>90</v>
      </c>
      <c r="D1204">
        <v>447900</v>
      </c>
      <c r="E1204" s="3">
        <v>358285</v>
      </c>
      <c r="F1204">
        <v>36603</v>
      </c>
      <c r="G1204">
        <v>65</v>
      </c>
      <c r="H1204">
        <v>47266</v>
      </c>
      <c r="I1204">
        <v>27444</v>
      </c>
      <c r="J1204">
        <v>7204</v>
      </c>
      <c r="K1204">
        <v>2022</v>
      </c>
    </row>
    <row r="1205" spans="1:11" x14ac:dyDescent="0.3">
      <c r="A1205">
        <v>124</v>
      </c>
      <c r="B1205" s="1" t="s">
        <v>181</v>
      </c>
      <c r="C1205" s="1" t="s">
        <v>90</v>
      </c>
      <c r="D1205">
        <v>445940</v>
      </c>
      <c r="E1205" s="3">
        <v>584951</v>
      </c>
      <c r="F1205">
        <v>66457</v>
      </c>
      <c r="G1205">
        <v>67</v>
      </c>
      <c r="H1205">
        <v>51878</v>
      </c>
      <c r="I1205">
        <v>14257</v>
      </c>
      <c r="J1205">
        <v>12072</v>
      </c>
      <c r="K1205">
        <v>2022</v>
      </c>
    </row>
    <row r="1206" spans="1:11" x14ac:dyDescent="0.3">
      <c r="A1206">
        <v>125</v>
      </c>
      <c r="B1206" s="1" t="s">
        <v>194</v>
      </c>
      <c r="C1206" s="1" t="s">
        <v>90</v>
      </c>
      <c r="D1206">
        <v>439610</v>
      </c>
      <c r="E1206" s="3">
        <v>576459</v>
      </c>
      <c r="F1206">
        <v>59569</v>
      </c>
      <c r="G1206">
        <v>62</v>
      </c>
      <c r="H1206">
        <v>35032</v>
      </c>
      <c r="I1206">
        <v>8044</v>
      </c>
      <c r="J1206">
        <v>26259</v>
      </c>
      <c r="K1206">
        <v>2022</v>
      </c>
    </row>
    <row r="1207" spans="1:11" x14ac:dyDescent="0.3">
      <c r="A1207">
        <v>126</v>
      </c>
      <c r="B1207" s="1" t="s">
        <v>149</v>
      </c>
      <c r="C1207" s="1" t="s">
        <v>39</v>
      </c>
      <c r="D1207">
        <v>439420</v>
      </c>
      <c r="E1207" s="3">
        <v>470037</v>
      </c>
      <c r="F1207">
        <v>62808</v>
      </c>
      <c r="G1207">
        <v>71</v>
      </c>
      <c r="H1207">
        <v>69315</v>
      </c>
      <c r="I1207">
        <v>96630</v>
      </c>
      <c r="J1207">
        <v>33024</v>
      </c>
      <c r="K1207">
        <v>2022</v>
      </c>
    </row>
    <row r="1208" spans="1:11" x14ac:dyDescent="0.3">
      <c r="A1208">
        <v>127</v>
      </c>
      <c r="B1208" s="1" t="s">
        <v>152</v>
      </c>
      <c r="C1208" s="1" t="s">
        <v>99</v>
      </c>
      <c r="D1208">
        <v>436220</v>
      </c>
      <c r="E1208" s="3">
        <v>640665</v>
      </c>
      <c r="F1208">
        <v>70733</v>
      </c>
      <c r="G1208">
        <v>76</v>
      </c>
      <c r="H1208">
        <v>71472</v>
      </c>
      <c r="I1208">
        <v>31997</v>
      </c>
      <c r="J1208">
        <v>13388</v>
      </c>
      <c r="K1208">
        <v>2022</v>
      </c>
    </row>
    <row r="1209" spans="1:11" x14ac:dyDescent="0.3">
      <c r="A1209">
        <v>128</v>
      </c>
      <c r="B1209" s="1" t="s">
        <v>167</v>
      </c>
      <c r="C1209" s="1" t="s">
        <v>90</v>
      </c>
      <c r="D1209">
        <v>433910</v>
      </c>
      <c r="E1209" s="3">
        <v>303401</v>
      </c>
      <c r="F1209">
        <v>48834</v>
      </c>
      <c r="G1209">
        <v>68</v>
      </c>
      <c r="H1209">
        <v>27303</v>
      </c>
      <c r="I1209">
        <v>30553</v>
      </c>
      <c r="J1209">
        <v>26161</v>
      </c>
      <c r="K1209">
        <v>2022</v>
      </c>
    </row>
    <row r="1210" spans="1:11" x14ac:dyDescent="0.3">
      <c r="A1210">
        <v>129</v>
      </c>
      <c r="B1210" s="1" t="s">
        <v>155</v>
      </c>
      <c r="C1210" s="1" t="s">
        <v>24</v>
      </c>
      <c r="D1210">
        <v>428770</v>
      </c>
      <c r="E1210" s="3">
        <v>628287</v>
      </c>
      <c r="F1210">
        <v>55484</v>
      </c>
      <c r="G1210">
        <v>73</v>
      </c>
      <c r="H1210">
        <v>63373</v>
      </c>
      <c r="I1210">
        <v>8688</v>
      </c>
      <c r="J1210">
        <v>43349</v>
      </c>
      <c r="K1210">
        <v>2022</v>
      </c>
    </row>
    <row r="1211" spans="1:11" x14ac:dyDescent="0.3">
      <c r="A1211">
        <v>130</v>
      </c>
      <c r="B1211" s="1" t="s">
        <v>169</v>
      </c>
      <c r="C1211" s="1" t="s">
        <v>90</v>
      </c>
      <c r="D1211">
        <v>425080</v>
      </c>
      <c r="E1211" s="3">
        <v>299429</v>
      </c>
      <c r="F1211">
        <v>38358</v>
      </c>
      <c r="G1211">
        <v>63</v>
      </c>
      <c r="H1211">
        <v>24362</v>
      </c>
      <c r="I1211">
        <v>38808</v>
      </c>
      <c r="J1211">
        <v>13112</v>
      </c>
      <c r="K1211">
        <v>2022</v>
      </c>
    </row>
    <row r="1212" spans="1:11" x14ac:dyDescent="0.3">
      <c r="A1212">
        <v>131</v>
      </c>
      <c r="B1212" s="1" t="s">
        <v>142</v>
      </c>
      <c r="C1212" s="1" t="s">
        <v>90</v>
      </c>
      <c r="D1212">
        <v>424150</v>
      </c>
      <c r="E1212" s="3">
        <v>356684</v>
      </c>
      <c r="F1212">
        <v>61291</v>
      </c>
      <c r="G1212">
        <v>70</v>
      </c>
      <c r="H1212">
        <v>63841</v>
      </c>
      <c r="I1212">
        <v>43725</v>
      </c>
      <c r="J1212">
        <v>23146</v>
      </c>
      <c r="K1212">
        <v>2022</v>
      </c>
    </row>
    <row r="1213" spans="1:11" x14ac:dyDescent="0.3">
      <c r="A1213">
        <v>132</v>
      </c>
      <c r="B1213" s="1" t="s">
        <v>156</v>
      </c>
      <c r="C1213" s="1" t="s">
        <v>24</v>
      </c>
      <c r="D1213">
        <v>419690</v>
      </c>
      <c r="E1213" s="3">
        <v>312954</v>
      </c>
      <c r="F1213">
        <v>78989</v>
      </c>
      <c r="G1213">
        <v>68</v>
      </c>
      <c r="H1213">
        <v>44537</v>
      </c>
      <c r="I1213">
        <v>19317</v>
      </c>
      <c r="J1213">
        <v>16680</v>
      </c>
      <c r="K1213">
        <v>2022</v>
      </c>
    </row>
    <row r="1214" spans="1:11" x14ac:dyDescent="0.3">
      <c r="A1214">
        <v>133</v>
      </c>
      <c r="B1214" s="1" t="s">
        <v>144</v>
      </c>
      <c r="C1214" s="1" t="s">
        <v>24</v>
      </c>
      <c r="D1214">
        <v>415260</v>
      </c>
      <c r="E1214" s="3">
        <v>497958</v>
      </c>
      <c r="F1214">
        <v>65526</v>
      </c>
      <c r="G1214">
        <v>70</v>
      </c>
      <c r="H1214">
        <v>41070</v>
      </c>
      <c r="I1214">
        <v>18884</v>
      </c>
      <c r="J1214">
        <v>23596</v>
      </c>
      <c r="K1214">
        <v>2022</v>
      </c>
    </row>
    <row r="1215" spans="1:11" x14ac:dyDescent="0.3">
      <c r="A1215">
        <v>134</v>
      </c>
      <c r="B1215" s="1" t="s">
        <v>103</v>
      </c>
      <c r="C1215" s="1" t="s">
        <v>24</v>
      </c>
      <c r="D1215">
        <v>415210</v>
      </c>
      <c r="E1215" s="3">
        <v>599044</v>
      </c>
      <c r="F1215">
        <v>54861</v>
      </c>
      <c r="G1215">
        <v>77</v>
      </c>
      <c r="H1215">
        <v>64298</v>
      </c>
      <c r="I1215">
        <v>12369</v>
      </c>
      <c r="J1215">
        <v>34136</v>
      </c>
      <c r="K1215">
        <v>2022</v>
      </c>
    </row>
    <row r="1216" spans="1:11" x14ac:dyDescent="0.3">
      <c r="A1216">
        <v>135</v>
      </c>
      <c r="B1216" s="1" t="s">
        <v>178</v>
      </c>
      <c r="C1216" s="1" t="s">
        <v>90</v>
      </c>
      <c r="D1216">
        <v>411230</v>
      </c>
      <c r="E1216" s="3">
        <v>349012</v>
      </c>
      <c r="F1216">
        <v>24358</v>
      </c>
      <c r="G1216">
        <v>67</v>
      </c>
      <c r="H1216">
        <v>39427</v>
      </c>
      <c r="I1216">
        <v>37273</v>
      </c>
      <c r="J1216">
        <v>22565</v>
      </c>
      <c r="K1216">
        <v>2022</v>
      </c>
    </row>
    <row r="1217" spans="1:11" x14ac:dyDescent="0.3">
      <c r="A1217">
        <v>136</v>
      </c>
      <c r="B1217" s="1" t="s">
        <v>137</v>
      </c>
      <c r="C1217" s="1" t="s">
        <v>99</v>
      </c>
      <c r="D1217">
        <v>377710</v>
      </c>
      <c r="E1217" s="3">
        <v>528205</v>
      </c>
      <c r="F1217">
        <v>28451</v>
      </c>
      <c r="G1217">
        <v>70</v>
      </c>
      <c r="H1217">
        <v>87446</v>
      </c>
      <c r="I1217">
        <v>42292</v>
      </c>
      <c r="J1217">
        <v>21014</v>
      </c>
      <c r="K1217">
        <v>2022</v>
      </c>
    </row>
    <row r="1218" spans="1:11" x14ac:dyDescent="0.3">
      <c r="A1218">
        <v>137</v>
      </c>
      <c r="B1218" s="1" t="s">
        <v>105</v>
      </c>
      <c r="C1218" s="1" t="s">
        <v>90</v>
      </c>
      <c r="D1218">
        <v>375980</v>
      </c>
      <c r="E1218" s="3">
        <v>421012</v>
      </c>
      <c r="F1218">
        <v>43733</v>
      </c>
      <c r="G1218">
        <v>65</v>
      </c>
      <c r="H1218">
        <v>70982</v>
      </c>
      <c r="I1218">
        <v>43336</v>
      </c>
      <c r="J1218">
        <v>14128</v>
      </c>
      <c r="K1218">
        <v>2022</v>
      </c>
    </row>
    <row r="1219" spans="1:11" x14ac:dyDescent="0.3">
      <c r="A1219">
        <v>138</v>
      </c>
      <c r="B1219" s="1" t="s">
        <v>151</v>
      </c>
      <c r="C1219" s="1" t="s">
        <v>90</v>
      </c>
      <c r="D1219">
        <v>375040</v>
      </c>
      <c r="E1219" s="3">
        <v>293212</v>
      </c>
      <c r="F1219">
        <v>21160</v>
      </c>
      <c r="G1219">
        <v>68</v>
      </c>
      <c r="H1219">
        <v>64448</v>
      </c>
      <c r="I1219">
        <v>29961</v>
      </c>
      <c r="J1219">
        <v>26761</v>
      </c>
      <c r="K1219">
        <v>2022</v>
      </c>
    </row>
    <row r="1220" spans="1:11" x14ac:dyDescent="0.3">
      <c r="A1220">
        <v>139</v>
      </c>
      <c r="B1220" s="1" t="s">
        <v>166</v>
      </c>
      <c r="C1220" s="1" t="s">
        <v>90</v>
      </c>
      <c r="D1220">
        <v>370240</v>
      </c>
      <c r="E1220" s="3">
        <v>384022</v>
      </c>
      <c r="F1220">
        <v>45232</v>
      </c>
      <c r="G1220">
        <v>69</v>
      </c>
      <c r="H1220">
        <v>78075</v>
      </c>
      <c r="I1220">
        <v>53076</v>
      </c>
      <c r="J1220">
        <v>46087</v>
      </c>
      <c r="K1220">
        <v>2022</v>
      </c>
    </row>
    <row r="1221" spans="1:11" x14ac:dyDescent="0.3">
      <c r="A1221">
        <v>140</v>
      </c>
      <c r="B1221" s="1" t="s">
        <v>143</v>
      </c>
      <c r="C1221" s="1" t="s">
        <v>90</v>
      </c>
      <c r="D1221">
        <v>357400</v>
      </c>
      <c r="E1221" s="3">
        <v>310358</v>
      </c>
      <c r="F1221">
        <v>31521</v>
      </c>
      <c r="G1221">
        <v>64</v>
      </c>
      <c r="H1221">
        <v>52298</v>
      </c>
      <c r="I1221">
        <v>43229</v>
      </c>
      <c r="J1221">
        <v>9287</v>
      </c>
      <c r="K1221">
        <v>2022</v>
      </c>
    </row>
    <row r="1222" spans="1:11" x14ac:dyDescent="0.3">
      <c r="A1222">
        <v>141</v>
      </c>
      <c r="B1222" s="1" t="s">
        <v>117</v>
      </c>
      <c r="C1222" s="1" t="s">
        <v>90</v>
      </c>
      <c r="D1222">
        <v>351180</v>
      </c>
      <c r="E1222" s="3">
        <v>379591</v>
      </c>
      <c r="F1222">
        <v>64243</v>
      </c>
      <c r="G1222">
        <v>56</v>
      </c>
      <c r="H1222">
        <v>56585</v>
      </c>
      <c r="I1222">
        <v>16256</v>
      </c>
      <c r="J1222">
        <v>3136</v>
      </c>
      <c r="K1222">
        <v>2022</v>
      </c>
    </row>
    <row r="1223" spans="1:11" x14ac:dyDescent="0.3">
      <c r="A1223">
        <v>142</v>
      </c>
      <c r="B1223" s="1" t="s">
        <v>148</v>
      </c>
      <c r="C1223" s="1" t="s">
        <v>90</v>
      </c>
      <c r="D1223">
        <v>347110</v>
      </c>
      <c r="E1223" s="3">
        <v>680091</v>
      </c>
      <c r="F1223">
        <v>61782</v>
      </c>
      <c r="G1223">
        <v>65</v>
      </c>
      <c r="H1223">
        <v>77206</v>
      </c>
      <c r="I1223">
        <v>2663</v>
      </c>
      <c r="J1223">
        <v>17380</v>
      </c>
      <c r="K1223">
        <v>2022</v>
      </c>
    </row>
    <row r="1224" spans="1:11" x14ac:dyDescent="0.3">
      <c r="A1224">
        <v>143</v>
      </c>
      <c r="B1224" s="1" t="s">
        <v>174</v>
      </c>
      <c r="C1224" s="1" t="s">
        <v>90</v>
      </c>
      <c r="D1224">
        <v>326820</v>
      </c>
      <c r="E1224" s="3">
        <v>355415</v>
      </c>
      <c r="F1224">
        <v>10054</v>
      </c>
      <c r="G1224">
        <v>70</v>
      </c>
      <c r="H1224">
        <v>83979</v>
      </c>
      <c r="I1224">
        <v>39891</v>
      </c>
      <c r="J1224">
        <v>92742</v>
      </c>
      <c r="K1224">
        <v>2022</v>
      </c>
    </row>
    <row r="1225" spans="1:11" x14ac:dyDescent="0.3">
      <c r="A1225">
        <v>144</v>
      </c>
      <c r="B1225" s="1" t="s">
        <v>135</v>
      </c>
      <c r="C1225" s="1" t="s">
        <v>90</v>
      </c>
      <c r="D1225">
        <v>299510</v>
      </c>
      <c r="E1225" s="3">
        <v>428445</v>
      </c>
      <c r="F1225">
        <v>52311</v>
      </c>
      <c r="G1225">
        <v>64</v>
      </c>
      <c r="H1225">
        <v>44485</v>
      </c>
      <c r="I1225">
        <v>22710</v>
      </c>
      <c r="J1225">
        <v>17883</v>
      </c>
      <c r="K1225">
        <v>2022</v>
      </c>
    </row>
    <row r="1226" spans="1:11" x14ac:dyDescent="0.3">
      <c r="A1226">
        <v>145</v>
      </c>
      <c r="B1226" s="1" t="s">
        <v>123</v>
      </c>
      <c r="C1226" s="1" t="s">
        <v>24</v>
      </c>
      <c r="D1226">
        <v>295530</v>
      </c>
      <c r="E1226" s="3">
        <v>630068</v>
      </c>
      <c r="F1226">
        <v>37730</v>
      </c>
      <c r="G1226">
        <v>75</v>
      </c>
      <c r="H1226">
        <v>13891</v>
      </c>
      <c r="I1226">
        <v>17565</v>
      </c>
      <c r="J1226">
        <v>5753</v>
      </c>
      <c r="K1226">
        <v>2022</v>
      </c>
    </row>
    <row r="1227" spans="1:11" x14ac:dyDescent="0.3">
      <c r="A1227">
        <v>146</v>
      </c>
      <c r="B1227" s="1" t="s">
        <v>173</v>
      </c>
      <c r="C1227" s="1" t="s">
        <v>99</v>
      </c>
      <c r="D1227">
        <v>240380</v>
      </c>
      <c r="E1227" s="3">
        <v>343077</v>
      </c>
      <c r="F1227">
        <v>0</v>
      </c>
      <c r="G1227">
        <v>65</v>
      </c>
      <c r="H1227">
        <v>0</v>
      </c>
      <c r="I1227">
        <v>18993</v>
      </c>
      <c r="J1227">
        <v>832</v>
      </c>
      <c r="K1227">
        <v>2022</v>
      </c>
    </row>
    <row r="1228" spans="1:11" x14ac:dyDescent="0.3">
      <c r="A1228">
        <v>1</v>
      </c>
      <c r="B1228" s="1" t="s">
        <v>18</v>
      </c>
      <c r="C1228" s="1" t="s">
        <v>12</v>
      </c>
      <c r="D1228">
        <v>780420</v>
      </c>
      <c r="E1228" s="3">
        <v>858486</v>
      </c>
      <c r="F1228">
        <v>97853</v>
      </c>
      <c r="G1228">
        <v>71</v>
      </c>
      <c r="H1228">
        <v>100000</v>
      </c>
      <c r="I1228">
        <v>29969</v>
      </c>
      <c r="J1228">
        <v>4551</v>
      </c>
      <c r="K1228">
        <v>2023</v>
      </c>
    </row>
    <row r="1229" spans="1:11" x14ac:dyDescent="0.3">
      <c r="A1229">
        <v>2</v>
      </c>
      <c r="B1229" s="1" t="s">
        <v>14</v>
      </c>
      <c r="C1229" s="1" t="s">
        <v>12</v>
      </c>
      <c r="D1229">
        <v>758640</v>
      </c>
      <c r="E1229" s="3">
        <v>886229</v>
      </c>
      <c r="F1229">
        <v>95567</v>
      </c>
      <c r="G1229">
        <v>71</v>
      </c>
      <c r="H1229">
        <v>95192</v>
      </c>
      <c r="I1229">
        <v>49451</v>
      </c>
      <c r="J1229">
        <v>6348</v>
      </c>
      <c r="K1229">
        <v>2023</v>
      </c>
    </row>
    <row r="1230" spans="1:11" x14ac:dyDescent="0.3">
      <c r="A1230">
        <v>3</v>
      </c>
      <c r="B1230" s="1" t="s">
        <v>13</v>
      </c>
      <c r="C1230" s="1" t="s">
        <v>12</v>
      </c>
      <c r="D1230">
        <v>752960</v>
      </c>
      <c r="E1230" s="3">
        <v>875364</v>
      </c>
      <c r="F1230">
        <v>100000</v>
      </c>
      <c r="G1230">
        <v>72</v>
      </c>
      <c r="H1230">
        <v>95678</v>
      </c>
      <c r="I1230">
        <v>59219</v>
      </c>
      <c r="J1230">
        <v>66635</v>
      </c>
      <c r="K1230">
        <v>2023</v>
      </c>
    </row>
    <row r="1231" spans="1:11" x14ac:dyDescent="0.3">
      <c r="A1231">
        <v>4</v>
      </c>
      <c r="B1231" s="1" t="s">
        <v>23</v>
      </c>
      <c r="C1231" s="1" t="s">
        <v>24</v>
      </c>
      <c r="D1231">
        <v>747290</v>
      </c>
      <c r="E1231" s="3">
        <v>833490</v>
      </c>
      <c r="F1231">
        <v>93888</v>
      </c>
      <c r="G1231">
        <v>73</v>
      </c>
      <c r="H1231">
        <v>73689</v>
      </c>
      <c r="I1231">
        <v>29427</v>
      </c>
      <c r="J1231">
        <v>71775</v>
      </c>
      <c r="K1231">
        <v>2023</v>
      </c>
    </row>
    <row r="1232" spans="1:11" x14ac:dyDescent="0.3">
      <c r="A1232">
        <v>5</v>
      </c>
      <c r="B1232" s="1" t="s">
        <v>19</v>
      </c>
      <c r="C1232" s="1" t="s">
        <v>12</v>
      </c>
      <c r="D1232">
        <v>740300</v>
      </c>
      <c r="E1232" s="3">
        <v>882986</v>
      </c>
      <c r="F1232">
        <v>91885</v>
      </c>
      <c r="G1232">
        <v>72</v>
      </c>
      <c r="H1232">
        <v>87144</v>
      </c>
      <c r="I1232">
        <v>59435</v>
      </c>
      <c r="J1232">
        <v>29735</v>
      </c>
      <c r="K1232">
        <v>2023</v>
      </c>
    </row>
    <row r="1233" spans="1:11" x14ac:dyDescent="0.3">
      <c r="A1233">
        <v>6</v>
      </c>
      <c r="B1233" s="1" t="s">
        <v>20</v>
      </c>
      <c r="C1233" s="1" t="s">
        <v>12</v>
      </c>
      <c r="D1233">
        <v>739520</v>
      </c>
      <c r="E1233" s="3">
        <v>873292</v>
      </c>
      <c r="F1233">
        <v>93249</v>
      </c>
      <c r="G1233">
        <v>72</v>
      </c>
      <c r="H1233">
        <v>97682</v>
      </c>
      <c r="I1233">
        <v>53339</v>
      </c>
      <c r="J1233">
        <v>7195</v>
      </c>
      <c r="K1233">
        <v>2023</v>
      </c>
    </row>
    <row r="1234" spans="1:11" x14ac:dyDescent="0.3">
      <c r="A1234">
        <v>7</v>
      </c>
      <c r="B1234" s="1" t="s">
        <v>15</v>
      </c>
      <c r="C1234" s="1" t="s">
        <v>12</v>
      </c>
      <c r="D1234">
        <v>731550</v>
      </c>
      <c r="E1234" s="3">
        <v>906702</v>
      </c>
      <c r="F1234">
        <v>93909</v>
      </c>
      <c r="G1234">
        <v>72</v>
      </c>
      <c r="H1234">
        <v>97449</v>
      </c>
      <c r="I1234">
        <v>50265</v>
      </c>
      <c r="J1234">
        <v>17450</v>
      </c>
      <c r="K1234">
        <v>2023</v>
      </c>
    </row>
    <row r="1235" spans="1:11" x14ac:dyDescent="0.3">
      <c r="A1235">
        <v>8</v>
      </c>
      <c r="B1235" s="1" t="s">
        <v>11</v>
      </c>
      <c r="C1235" s="1" t="s">
        <v>12</v>
      </c>
      <c r="D1235">
        <v>724010</v>
      </c>
      <c r="E1235" s="3">
        <v>919142</v>
      </c>
      <c r="F1235">
        <v>90316</v>
      </c>
      <c r="G1235">
        <v>73</v>
      </c>
      <c r="H1235">
        <v>87869</v>
      </c>
      <c r="I1235">
        <v>35761</v>
      </c>
      <c r="J1235">
        <v>15356</v>
      </c>
      <c r="K1235">
        <v>2023</v>
      </c>
    </row>
    <row r="1236" spans="1:11" x14ac:dyDescent="0.3">
      <c r="A1236">
        <v>9</v>
      </c>
      <c r="B1236" s="1" t="s">
        <v>31</v>
      </c>
      <c r="C1236" s="1" t="s">
        <v>12</v>
      </c>
      <c r="D1236">
        <v>722790</v>
      </c>
      <c r="E1236" s="3">
        <v>1000000</v>
      </c>
      <c r="F1236">
        <v>83775</v>
      </c>
      <c r="G1236">
        <v>72</v>
      </c>
      <c r="H1236">
        <v>91985</v>
      </c>
      <c r="I1236">
        <v>35413</v>
      </c>
      <c r="J1236">
        <v>25399</v>
      </c>
      <c r="K1236">
        <v>2023</v>
      </c>
    </row>
    <row r="1237" spans="1:11" x14ac:dyDescent="0.3">
      <c r="A1237">
        <v>10</v>
      </c>
      <c r="B1237" s="1" t="s">
        <v>21</v>
      </c>
      <c r="C1237" s="1" t="s">
        <v>17</v>
      </c>
      <c r="D1237">
        <v>712290</v>
      </c>
      <c r="E1237" s="3">
        <v>837266</v>
      </c>
      <c r="F1237">
        <v>95300</v>
      </c>
      <c r="G1237">
        <v>70</v>
      </c>
      <c r="H1237">
        <v>87092</v>
      </c>
      <c r="I1237">
        <v>54617</v>
      </c>
      <c r="J1237">
        <v>15977</v>
      </c>
      <c r="K1237">
        <v>2023</v>
      </c>
    </row>
    <row r="1238" spans="1:11" x14ac:dyDescent="0.3">
      <c r="A1238">
        <v>11</v>
      </c>
      <c r="B1238" s="1" t="s">
        <v>27</v>
      </c>
      <c r="C1238" s="1" t="s">
        <v>12</v>
      </c>
      <c r="D1238">
        <v>709730</v>
      </c>
      <c r="E1238" s="3">
        <v>875915</v>
      </c>
      <c r="F1238">
        <v>85325</v>
      </c>
      <c r="G1238">
        <v>71</v>
      </c>
      <c r="H1238">
        <v>81601</v>
      </c>
      <c r="I1238">
        <v>45297</v>
      </c>
      <c r="J1238">
        <v>44786</v>
      </c>
      <c r="K1238">
        <v>2023</v>
      </c>
    </row>
    <row r="1239" spans="1:11" x14ac:dyDescent="0.3">
      <c r="A1239">
        <v>12</v>
      </c>
      <c r="B1239" s="1" t="s">
        <v>22</v>
      </c>
      <c r="C1239" s="1" t="s">
        <v>17</v>
      </c>
      <c r="D1239">
        <v>709460</v>
      </c>
      <c r="E1239" s="3">
        <v>863220</v>
      </c>
      <c r="F1239">
        <v>92411</v>
      </c>
      <c r="G1239">
        <v>71</v>
      </c>
      <c r="H1239">
        <v>87718</v>
      </c>
      <c r="I1239">
        <v>57510</v>
      </c>
      <c r="J1239">
        <v>44676</v>
      </c>
      <c r="K1239">
        <v>2023</v>
      </c>
    </row>
    <row r="1240" spans="1:11" x14ac:dyDescent="0.3">
      <c r="A1240">
        <v>13</v>
      </c>
      <c r="B1240" s="1" t="s">
        <v>16</v>
      </c>
      <c r="C1240" s="1" t="s">
        <v>17</v>
      </c>
      <c r="D1240">
        <v>696070</v>
      </c>
      <c r="E1240" s="3">
        <v>855330</v>
      </c>
      <c r="F1240">
        <v>91619</v>
      </c>
      <c r="G1240">
        <v>71</v>
      </c>
      <c r="H1240">
        <v>85004</v>
      </c>
      <c r="I1240">
        <v>51781</v>
      </c>
      <c r="J1240">
        <v>35007</v>
      </c>
      <c r="K1240">
        <v>2023</v>
      </c>
    </row>
    <row r="1241" spans="1:11" x14ac:dyDescent="0.3">
      <c r="A1241">
        <v>14</v>
      </c>
      <c r="B1241" s="1" t="s">
        <v>32</v>
      </c>
      <c r="C1241" s="1" t="s">
        <v>12</v>
      </c>
      <c r="D1241">
        <v>691080</v>
      </c>
      <c r="E1241" s="3">
        <v>978382</v>
      </c>
      <c r="F1241">
        <v>87965</v>
      </c>
      <c r="G1241">
        <v>71</v>
      </c>
      <c r="H1241">
        <v>84989</v>
      </c>
      <c r="I1241">
        <v>44031</v>
      </c>
      <c r="J1241">
        <v>27056</v>
      </c>
      <c r="K1241">
        <v>2023</v>
      </c>
    </row>
    <row r="1242" spans="1:11" x14ac:dyDescent="0.3">
      <c r="A1242">
        <v>15</v>
      </c>
      <c r="B1242" s="1" t="s">
        <v>29</v>
      </c>
      <c r="C1242" s="1" t="s">
        <v>17</v>
      </c>
      <c r="D1242">
        <v>689370</v>
      </c>
      <c r="E1242" s="3">
        <v>900265</v>
      </c>
      <c r="F1242">
        <v>90117</v>
      </c>
      <c r="G1242">
        <v>66</v>
      </c>
      <c r="H1242">
        <v>72244</v>
      </c>
      <c r="I1242">
        <v>49739</v>
      </c>
      <c r="J1242">
        <v>69285</v>
      </c>
      <c r="K1242">
        <v>2023</v>
      </c>
    </row>
    <row r="1243" spans="1:11" x14ac:dyDescent="0.3">
      <c r="A1243">
        <v>16</v>
      </c>
      <c r="B1243" s="1" t="s">
        <v>41</v>
      </c>
      <c r="C1243" s="1" t="s">
        <v>12</v>
      </c>
      <c r="D1243">
        <v>689180</v>
      </c>
      <c r="E1243" s="3">
        <v>872605</v>
      </c>
      <c r="F1243">
        <v>86497</v>
      </c>
      <c r="G1243">
        <v>71</v>
      </c>
      <c r="H1243">
        <v>80068</v>
      </c>
      <c r="I1243">
        <v>36188</v>
      </c>
      <c r="J1243">
        <v>34925</v>
      </c>
      <c r="K1243">
        <v>2023</v>
      </c>
    </row>
    <row r="1244" spans="1:11" x14ac:dyDescent="0.3">
      <c r="A1244">
        <v>17</v>
      </c>
      <c r="B1244" s="1" t="s">
        <v>33</v>
      </c>
      <c r="C1244" s="1" t="s">
        <v>12</v>
      </c>
      <c r="D1244">
        <v>685910</v>
      </c>
      <c r="E1244" s="3">
        <v>866895</v>
      </c>
      <c r="F1244">
        <v>89447</v>
      </c>
      <c r="G1244">
        <v>71</v>
      </c>
      <c r="H1244">
        <v>76511</v>
      </c>
      <c r="I1244">
        <v>32545</v>
      </c>
      <c r="J1244">
        <v>51401</v>
      </c>
      <c r="K1244">
        <v>2023</v>
      </c>
    </row>
    <row r="1245" spans="1:11" x14ac:dyDescent="0.3">
      <c r="A1245">
        <v>18</v>
      </c>
      <c r="B1245" s="1" t="s">
        <v>193</v>
      </c>
      <c r="C1245" s="1" t="s">
        <v>47</v>
      </c>
      <c r="D1245">
        <v>684520</v>
      </c>
      <c r="E1245" s="3">
        <v>828976</v>
      </c>
      <c r="F1245">
        <v>95328</v>
      </c>
      <c r="G1245">
        <v>69</v>
      </c>
      <c r="H1245">
        <v>89842</v>
      </c>
      <c r="I1245">
        <v>37426</v>
      </c>
      <c r="J1245">
        <v>91042</v>
      </c>
      <c r="K1245">
        <v>2023</v>
      </c>
    </row>
    <row r="1246" spans="1:11" x14ac:dyDescent="0.3">
      <c r="A1246">
        <v>19</v>
      </c>
      <c r="B1246" s="1" t="s">
        <v>35</v>
      </c>
      <c r="C1246" s="1" t="s">
        <v>12</v>
      </c>
      <c r="D1246">
        <v>679560</v>
      </c>
      <c r="E1246" s="3">
        <v>844176</v>
      </c>
      <c r="F1246">
        <v>84353</v>
      </c>
      <c r="G1246">
        <v>70</v>
      </c>
      <c r="H1246">
        <v>81162</v>
      </c>
      <c r="I1246">
        <v>64606</v>
      </c>
      <c r="J1246">
        <v>39333</v>
      </c>
      <c r="K1246">
        <v>2023</v>
      </c>
    </row>
    <row r="1247" spans="1:11" x14ac:dyDescent="0.3">
      <c r="A1247">
        <v>20</v>
      </c>
      <c r="B1247" s="1" t="s">
        <v>74</v>
      </c>
      <c r="C1247" s="1" t="s">
        <v>12</v>
      </c>
      <c r="D1247">
        <v>676300</v>
      </c>
      <c r="E1247" s="3">
        <v>821935</v>
      </c>
      <c r="F1247">
        <v>93265</v>
      </c>
      <c r="G1247">
        <v>67</v>
      </c>
      <c r="H1247">
        <v>63165</v>
      </c>
      <c r="I1247">
        <v>13882</v>
      </c>
      <c r="J1247">
        <v>84163</v>
      </c>
      <c r="K1247">
        <v>2023</v>
      </c>
    </row>
    <row r="1248" spans="1:11" x14ac:dyDescent="0.3">
      <c r="A1248">
        <v>21</v>
      </c>
      <c r="B1248" s="1" t="s">
        <v>44</v>
      </c>
      <c r="C1248" s="1" t="s">
        <v>12</v>
      </c>
      <c r="D1248">
        <v>666130</v>
      </c>
      <c r="E1248" s="3">
        <v>843604</v>
      </c>
      <c r="F1248">
        <v>88501</v>
      </c>
      <c r="G1248">
        <v>72</v>
      </c>
      <c r="H1248">
        <v>75391</v>
      </c>
      <c r="I1248">
        <v>19600</v>
      </c>
      <c r="J1248">
        <v>51918</v>
      </c>
      <c r="K1248">
        <v>2023</v>
      </c>
    </row>
    <row r="1249" spans="1:11" x14ac:dyDescent="0.3">
      <c r="A1249">
        <v>22</v>
      </c>
      <c r="B1249" s="1" t="s">
        <v>73</v>
      </c>
      <c r="C1249" s="1" t="s">
        <v>47</v>
      </c>
      <c r="D1249">
        <v>664990</v>
      </c>
      <c r="E1249" s="3">
        <v>825270</v>
      </c>
      <c r="F1249">
        <v>95008</v>
      </c>
      <c r="G1249">
        <v>71</v>
      </c>
      <c r="H1249">
        <v>91699</v>
      </c>
      <c r="I1249">
        <v>34197</v>
      </c>
      <c r="J1249">
        <v>79841</v>
      </c>
      <c r="K1249">
        <v>2023</v>
      </c>
    </row>
    <row r="1250" spans="1:11" x14ac:dyDescent="0.3">
      <c r="A1250">
        <v>23</v>
      </c>
      <c r="B1250" s="1" t="s">
        <v>25</v>
      </c>
      <c r="C1250" s="1" t="s">
        <v>26</v>
      </c>
      <c r="D1250">
        <v>660850</v>
      </c>
      <c r="E1250" s="3">
        <v>721454</v>
      </c>
      <c r="F1250">
        <v>82705</v>
      </c>
      <c r="G1250">
        <v>70</v>
      </c>
      <c r="H1250">
        <v>88549</v>
      </c>
      <c r="I1250">
        <v>23480</v>
      </c>
      <c r="J1250">
        <v>79402</v>
      </c>
      <c r="K1250">
        <v>2023</v>
      </c>
    </row>
    <row r="1251" spans="1:11" x14ac:dyDescent="0.3">
      <c r="A1251">
        <v>24</v>
      </c>
      <c r="B1251" s="1" t="s">
        <v>106</v>
      </c>
      <c r="C1251" s="1" t="s">
        <v>47</v>
      </c>
      <c r="D1251">
        <v>658910</v>
      </c>
      <c r="E1251" s="3">
        <v>784633</v>
      </c>
      <c r="F1251">
        <v>79012</v>
      </c>
      <c r="G1251">
        <v>67</v>
      </c>
      <c r="H1251">
        <v>81787</v>
      </c>
      <c r="I1251">
        <v>10504</v>
      </c>
      <c r="J1251">
        <v>100000</v>
      </c>
      <c r="K1251">
        <v>2023</v>
      </c>
    </row>
    <row r="1252" spans="1:11" x14ac:dyDescent="0.3">
      <c r="A1252">
        <v>25</v>
      </c>
      <c r="B1252" s="1" t="s">
        <v>38</v>
      </c>
      <c r="C1252" s="1" t="s">
        <v>39</v>
      </c>
      <c r="D1252">
        <v>658670</v>
      </c>
      <c r="E1252" s="3">
        <v>985578</v>
      </c>
      <c r="F1252">
        <v>83625</v>
      </c>
      <c r="G1252">
        <v>74</v>
      </c>
      <c r="H1252">
        <v>85557</v>
      </c>
      <c r="I1252">
        <v>40350</v>
      </c>
      <c r="J1252">
        <v>0</v>
      </c>
      <c r="K1252">
        <v>2023</v>
      </c>
    </row>
    <row r="1253" spans="1:11" x14ac:dyDescent="0.3">
      <c r="A1253">
        <v>26</v>
      </c>
      <c r="B1253" s="1" t="s">
        <v>34</v>
      </c>
      <c r="C1253" s="1" t="s">
        <v>24</v>
      </c>
      <c r="D1253">
        <v>657120</v>
      </c>
      <c r="E1253" s="3">
        <v>916068</v>
      </c>
      <c r="F1253">
        <v>75511</v>
      </c>
      <c r="G1253">
        <v>66</v>
      </c>
      <c r="H1253">
        <v>96615</v>
      </c>
      <c r="I1253">
        <v>44544</v>
      </c>
      <c r="J1253">
        <v>55900</v>
      </c>
      <c r="K1253">
        <v>2023</v>
      </c>
    </row>
    <row r="1254" spans="1:11" x14ac:dyDescent="0.3">
      <c r="A1254">
        <v>27</v>
      </c>
      <c r="B1254" s="1" t="s">
        <v>184</v>
      </c>
      <c r="C1254" s="1" t="s">
        <v>55</v>
      </c>
      <c r="D1254">
        <v>653540</v>
      </c>
      <c r="E1254" s="3">
        <v>859374</v>
      </c>
      <c r="F1254">
        <v>84699</v>
      </c>
      <c r="G1254">
        <v>70</v>
      </c>
      <c r="H1254">
        <v>72836</v>
      </c>
      <c r="I1254">
        <v>15951</v>
      </c>
      <c r="J1254">
        <v>68312</v>
      </c>
      <c r="K1254">
        <v>2023</v>
      </c>
    </row>
    <row r="1255" spans="1:11" x14ac:dyDescent="0.3">
      <c r="A1255">
        <v>28</v>
      </c>
      <c r="B1255" s="1" t="s">
        <v>48</v>
      </c>
      <c r="C1255" s="1" t="s">
        <v>26</v>
      </c>
      <c r="D1255">
        <v>649390</v>
      </c>
      <c r="E1255" s="3">
        <v>735304</v>
      </c>
      <c r="F1255">
        <v>89188</v>
      </c>
      <c r="G1255">
        <v>68</v>
      </c>
      <c r="H1255">
        <v>88580</v>
      </c>
      <c r="I1255">
        <v>24140</v>
      </c>
      <c r="J1255">
        <v>54723</v>
      </c>
      <c r="K1255">
        <v>2023</v>
      </c>
    </row>
    <row r="1256" spans="1:11" x14ac:dyDescent="0.3">
      <c r="A1256">
        <v>29</v>
      </c>
      <c r="B1256" s="1" t="s">
        <v>63</v>
      </c>
      <c r="C1256" s="1" t="s">
        <v>47</v>
      </c>
      <c r="D1256">
        <v>646860</v>
      </c>
      <c r="E1256" s="3">
        <v>786977</v>
      </c>
      <c r="F1256">
        <v>95326</v>
      </c>
      <c r="G1256">
        <v>69</v>
      </c>
      <c r="H1256">
        <v>64092</v>
      </c>
      <c r="I1256">
        <v>30272</v>
      </c>
      <c r="J1256">
        <v>96008</v>
      </c>
      <c r="K1256">
        <v>2023</v>
      </c>
    </row>
    <row r="1257" spans="1:11" x14ac:dyDescent="0.3">
      <c r="A1257">
        <v>30</v>
      </c>
      <c r="B1257" s="1" t="s">
        <v>51</v>
      </c>
      <c r="C1257" s="1" t="s">
        <v>24</v>
      </c>
      <c r="D1257">
        <v>646260</v>
      </c>
      <c r="E1257" s="3">
        <v>846003</v>
      </c>
      <c r="F1257">
        <v>84612</v>
      </c>
      <c r="G1257">
        <v>64</v>
      </c>
      <c r="H1257">
        <v>88341</v>
      </c>
      <c r="I1257">
        <v>22099</v>
      </c>
      <c r="J1257">
        <v>69631</v>
      </c>
      <c r="K1257">
        <v>2023</v>
      </c>
    </row>
    <row r="1258" spans="1:11" x14ac:dyDescent="0.3">
      <c r="A1258">
        <v>31</v>
      </c>
      <c r="B1258" s="1" t="s">
        <v>92</v>
      </c>
      <c r="C1258" s="1" t="s">
        <v>12</v>
      </c>
      <c r="D1258">
        <v>645520</v>
      </c>
      <c r="E1258" s="3">
        <v>817615</v>
      </c>
      <c r="F1258">
        <v>94244</v>
      </c>
      <c r="G1258">
        <v>70</v>
      </c>
      <c r="H1258">
        <v>94374</v>
      </c>
      <c r="I1258">
        <v>36408</v>
      </c>
      <c r="J1258">
        <v>33635</v>
      </c>
      <c r="K1258">
        <v>2023</v>
      </c>
    </row>
    <row r="1259" spans="1:11" x14ac:dyDescent="0.3">
      <c r="A1259">
        <v>32</v>
      </c>
      <c r="B1259" s="1" t="s">
        <v>52</v>
      </c>
      <c r="C1259" s="1" t="s">
        <v>12</v>
      </c>
      <c r="D1259">
        <v>643620</v>
      </c>
      <c r="E1259" s="3">
        <v>817445</v>
      </c>
      <c r="F1259">
        <v>92078</v>
      </c>
      <c r="G1259">
        <v>72</v>
      </c>
      <c r="H1259">
        <v>69075</v>
      </c>
      <c r="I1259">
        <v>23973</v>
      </c>
      <c r="J1259">
        <v>72085</v>
      </c>
      <c r="K1259">
        <v>2023</v>
      </c>
    </row>
    <row r="1260" spans="1:11" x14ac:dyDescent="0.3">
      <c r="A1260">
        <v>33</v>
      </c>
      <c r="B1260" s="1" t="s">
        <v>68</v>
      </c>
      <c r="C1260" s="1" t="s">
        <v>12</v>
      </c>
      <c r="D1260">
        <v>640450</v>
      </c>
      <c r="E1260" s="3">
        <v>832731</v>
      </c>
      <c r="F1260">
        <v>84254</v>
      </c>
      <c r="G1260">
        <v>72</v>
      </c>
      <c r="H1260">
        <v>56725</v>
      </c>
      <c r="I1260">
        <v>23004</v>
      </c>
      <c r="J1260">
        <v>88846</v>
      </c>
      <c r="K1260">
        <v>2023</v>
      </c>
    </row>
    <row r="1261" spans="1:11" x14ac:dyDescent="0.3">
      <c r="A1261">
        <v>34</v>
      </c>
      <c r="B1261" s="1" t="s">
        <v>87</v>
      </c>
      <c r="C1261" s="1" t="s">
        <v>47</v>
      </c>
      <c r="D1261">
        <v>636760</v>
      </c>
      <c r="E1261" s="3">
        <v>624855</v>
      </c>
      <c r="F1261">
        <v>78362</v>
      </c>
      <c r="G1261">
        <v>65</v>
      </c>
      <c r="H1261">
        <v>82763</v>
      </c>
      <c r="I1261">
        <v>65294</v>
      </c>
      <c r="J1261">
        <v>91958</v>
      </c>
      <c r="K1261">
        <v>2023</v>
      </c>
    </row>
    <row r="1262" spans="1:11" x14ac:dyDescent="0.3">
      <c r="A1262">
        <v>35</v>
      </c>
      <c r="B1262" s="1" t="s">
        <v>42</v>
      </c>
      <c r="C1262" s="1" t="s">
        <v>26</v>
      </c>
      <c r="D1262">
        <v>633380</v>
      </c>
      <c r="E1262" s="3">
        <v>747934</v>
      </c>
      <c r="F1262">
        <v>85433</v>
      </c>
      <c r="G1262">
        <v>70</v>
      </c>
      <c r="H1262">
        <v>70825</v>
      </c>
      <c r="I1262">
        <v>30961</v>
      </c>
      <c r="J1262">
        <v>86419</v>
      </c>
      <c r="K1262">
        <v>2023</v>
      </c>
    </row>
    <row r="1263" spans="1:11" x14ac:dyDescent="0.3">
      <c r="A1263">
        <v>36</v>
      </c>
      <c r="B1263" s="1" t="s">
        <v>28</v>
      </c>
      <c r="C1263" s="1" t="s">
        <v>26</v>
      </c>
      <c r="D1263">
        <v>632950</v>
      </c>
      <c r="E1263" s="3">
        <v>704829</v>
      </c>
      <c r="F1263">
        <v>72157</v>
      </c>
      <c r="G1263">
        <v>66</v>
      </c>
      <c r="H1263">
        <v>81857</v>
      </c>
      <c r="I1263">
        <v>20456</v>
      </c>
      <c r="J1263">
        <v>79471</v>
      </c>
      <c r="K1263">
        <v>2023</v>
      </c>
    </row>
    <row r="1264" spans="1:11" x14ac:dyDescent="0.3">
      <c r="A1264">
        <v>37</v>
      </c>
      <c r="B1264" s="1" t="s">
        <v>53</v>
      </c>
      <c r="C1264" s="1" t="s">
        <v>12</v>
      </c>
      <c r="D1264">
        <v>629990</v>
      </c>
      <c r="E1264" s="3">
        <v>837103</v>
      </c>
      <c r="F1264">
        <v>90665</v>
      </c>
      <c r="G1264">
        <v>72</v>
      </c>
      <c r="H1264">
        <v>86931</v>
      </c>
      <c r="I1264">
        <v>47551</v>
      </c>
      <c r="J1264">
        <v>74428</v>
      </c>
      <c r="K1264">
        <v>2023</v>
      </c>
    </row>
    <row r="1265" spans="1:11" x14ac:dyDescent="0.3">
      <c r="A1265">
        <v>38</v>
      </c>
      <c r="B1265" s="1" t="s">
        <v>40</v>
      </c>
      <c r="C1265" s="1" t="s">
        <v>26</v>
      </c>
      <c r="D1265">
        <v>626450</v>
      </c>
      <c r="E1265" s="3">
        <v>779090</v>
      </c>
      <c r="F1265">
        <v>86551</v>
      </c>
      <c r="G1265">
        <v>69</v>
      </c>
      <c r="H1265">
        <v>81663</v>
      </c>
      <c r="I1265">
        <v>15386</v>
      </c>
      <c r="J1265">
        <v>93513</v>
      </c>
      <c r="K1265">
        <v>2023</v>
      </c>
    </row>
    <row r="1266" spans="1:11" x14ac:dyDescent="0.3">
      <c r="A1266">
        <v>39</v>
      </c>
      <c r="B1266" s="1" t="s">
        <v>78</v>
      </c>
      <c r="C1266" s="1" t="s">
        <v>47</v>
      </c>
      <c r="D1266">
        <v>625970</v>
      </c>
      <c r="E1266" s="3">
        <v>803202</v>
      </c>
      <c r="F1266">
        <v>91036</v>
      </c>
      <c r="G1266">
        <v>69</v>
      </c>
      <c r="H1266">
        <v>66208</v>
      </c>
      <c r="I1266">
        <v>28425</v>
      </c>
      <c r="J1266">
        <v>75284</v>
      </c>
      <c r="K1266">
        <v>2023</v>
      </c>
    </row>
    <row r="1267" spans="1:11" x14ac:dyDescent="0.3">
      <c r="A1267">
        <v>40</v>
      </c>
      <c r="B1267" s="1" t="s">
        <v>75</v>
      </c>
      <c r="C1267" s="1" t="s">
        <v>26</v>
      </c>
      <c r="D1267">
        <v>625880</v>
      </c>
      <c r="E1267" s="3">
        <v>503970</v>
      </c>
      <c r="F1267">
        <v>79769</v>
      </c>
      <c r="G1267">
        <v>66</v>
      </c>
      <c r="H1267">
        <v>85515</v>
      </c>
      <c r="I1267">
        <v>35029</v>
      </c>
      <c r="J1267">
        <v>61164</v>
      </c>
      <c r="K1267">
        <v>2023</v>
      </c>
    </row>
    <row r="1268" spans="1:11" x14ac:dyDescent="0.3">
      <c r="A1268">
        <v>41</v>
      </c>
      <c r="B1268" s="1" t="s">
        <v>109</v>
      </c>
      <c r="C1268" s="1" t="s">
        <v>12</v>
      </c>
      <c r="D1268">
        <v>621270</v>
      </c>
      <c r="E1268" s="3">
        <v>789731</v>
      </c>
      <c r="F1268">
        <v>92919</v>
      </c>
      <c r="G1268">
        <v>66</v>
      </c>
      <c r="H1268">
        <v>75197</v>
      </c>
      <c r="I1268">
        <v>25290</v>
      </c>
      <c r="J1268">
        <v>87377</v>
      </c>
      <c r="K1268">
        <v>2023</v>
      </c>
    </row>
    <row r="1269" spans="1:11" x14ac:dyDescent="0.3">
      <c r="A1269">
        <v>42</v>
      </c>
      <c r="B1269" s="1" t="s">
        <v>67</v>
      </c>
      <c r="C1269" s="1" t="s">
        <v>24</v>
      </c>
      <c r="D1269">
        <v>617320</v>
      </c>
      <c r="E1269" s="3">
        <v>855840</v>
      </c>
      <c r="F1269">
        <v>78370</v>
      </c>
      <c r="G1269">
        <v>66</v>
      </c>
      <c r="H1269">
        <v>96993</v>
      </c>
      <c r="I1269">
        <v>47260</v>
      </c>
      <c r="J1269">
        <v>75428</v>
      </c>
      <c r="K1269">
        <v>2023</v>
      </c>
    </row>
    <row r="1270" spans="1:11" x14ac:dyDescent="0.3">
      <c r="A1270">
        <v>43</v>
      </c>
      <c r="B1270" s="1" t="s">
        <v>60</v>
      </c>
      <c r="C1270" s="1" t="s">
        <v>26</v>
      </c>
      <c r="D1270">
        <v>615030</v>
      </c>
      <c r="E1270" s="3">
        <v>585171</v>
      </c>
      <c r="F1270">
        <v>73362</v>
      </c>
      <c r="G1270">
        <v>63</v>
      </c>
      <c r="H1270">
        <v>81813</v>
      </c>
      <c r="I1270">
        <v>25076</v>
      </c>
      <c r="J1270">
        <v>88184</v>
      </c>
      <c r="K1270">
        <v>2023</v>
      </c>
    </row>
    <row r="1271" spans="1:11" x14ac:dyDescent="0.3">
      <c r="A1271">
        <v>44</v>
      </c>
      <c r="B1271" s="1" t="s">
        <v>72</v>
      </c>
      <c r="C1271" s="1" t="s">
        <v>62</v>
      </c>
      <c r="D1271">
        <v>614390</v>
      </c>
      <c r="E1271" s="3">
        <v>756428</v>
      </c>
      <c r="F1271">
        <v>92033</v>
      </c>
      <c r="G1271">
        <v>66</v>
      </c>
      <c r="H1271">
        <v>81342</v>
      </c>
      <c r="I1271">
        <v>32303</v>
      </c>
      <c r="J1271">
        <v>73482</v>
      </c>
      <c r="K1271">
        <v>2023</v>
      </c>
    </row>
    <row r="1272" spans="1:11" x14ac:dyDescent="0.3">
      <c r="A1272">
        <v>45</v>
      </c>
      <c r="B1272" s="1" t="s">
        <v>107</v>
      </c>
      <c r="C1272" s="1" t="s">
        <v>47</v>
      </c>
      <c r="D1272">
        <v>614360</v>
      </c>
      <c r="E1272" s="3">
        <v>705543</v>
      </c>
      <c r="F1272">
        <v>82925</v>
      </c>
      <c r="G1272">
        <v>67</v>
      </c>
      <c r="H1272">
        <v>79928</v>
      </c>
      <c r="I1272">
        <v>58329</v>
      </c>
      <c r="J1272">
        <v>85611</v>
      </c>
      <c r="K1272">
        <v>2023</v>
      </c>
    </row>
    <row r="1273" spans="1:11" x14ac:dyDescent="0.3">
      <c r="A1273">
        <v>46</v>
      </c>
      <c r="B1273" s="1" t="s">
        <v>85</v>
      </c>
      <c r="C1273" s="1" t="s">
        <v>90</v>
      </c>
      <c r="D1273">
        <v>613000</v>
      </c>
      <c r="E1273" s="3">
        <v>829006</v>
      </c>
      <c r="F1273">
        <v>75600</v>
      </c>
      <c r="G1273">
        <v>73</v>
      </c>
      <c r="H1273">
        <v>59029</v>
      </c>
      <c r="I1273">
        <v>24724</v>
      </c>
      <c r="J1273">
        <v>91149</v>
      </c>
      <c r="K1273">
        <v>2023</v>
      </c>
    </row>
    <row r="1274" spans="1:11" x14ac:dyDescent="0.3">
      <c r="A1274">
        <v>47</v>
      </c>
      <c r="B1274" s="1" t="s">
        <v>64</v>
      </c>
      <c r="C1274" s="1" t="s">
        <v>55</v>
      </c>
      <c r="D1274">
        <v>612900</v>
      </c>
      <c r="E1274" s="3">
        <v>829732</v>
      </c>
      <c r="F1274">
        <v>86211</v>
      </c>
      <c r="G1274">
        <v>74</v>
      </c>
      <c r="H1274">
        <v>72073</v>
      </c>
      <c r="I1274">
        <v>2207</v>
      </c>
      <c r="J1274">
        <v>63067</v>
      </c>
      <c r="K1274">
        <v>2023</v>
      </c>
    </row>
    <row r="1275" spans="1:11" x14ac:dyDescent="0.3">
      <c r="A1275">
        <v>48</v>
      </c>
      <c r="B1275" s="1" t="s">
        <v>80</v>
      </c>
      <c r="C1275" s="1" t="s">
        <v>47</v>
      </c>
      <c r="D1275">
        <v>612500</v>
      </c>
      <c r="E1275" s="3">
        <v>784908</v>
      </c>
      <c r="F1275">
        <v>89808</v>
      </c>
      <c r="G1275">
        <v>69</v>
      </c>
      <c r="H1275">
        <v>64764</v>
      </c>
      <c r="I1275">
        <v>20572</v>
      </c>
      <c r="J1275">
        <v>99514</v>
      </c>
      <c r="K1275">
        <v>2023</v>
      </c>
    </row>
    <row r="1276" spans="1:11" x14ac:dyDescent="0.3">
      <c r="A1276">
        <v>49</v>
      </c>
      <c r="B1276" s="1" t="s">
        <v>30</v>
      </c>
      <c r="C1276" s="1" t="s">
        <v>26</v>
      </c>
      <c r="D1276">
        <v>612460</v>
      </c>
      <c r="E1276" s="3">
        <v>661229</v>
      </c>
      <c r="F1276">
        <v>77190</v>
      </c>
      <c r="G1276">
        <v>66</v>
      </c>
      <c r="H1276">
        <v>72389</v>
      </c>
      <c r="I1276">
        <v>31172</v>
      </c>
      <c r="J1276">
        <v>75554</v>
      </c>
      <c r="K1276">
        <v>2023</v>
      </c>
    </row>
    <row r="1277" spans="1:11" x14ac:dyDescent="0.3">
      <c r="A1277">
        <v>50</v>
      </c>
      <c r="B1277" s="1" t="s">
        <v>59</v>
      </c>
      <c r="C1277" s="1" t="s">
        <v>26</v>
      </c>
      <c r="D1277">
        <v>612160</v>
      </c>
      <c r="E1277" s="3">
        <v>580835</v>
      </c>
      <c r="F1277">
        <v>64474</v>
      </c>
      <c r="G1277">
        <v>66</v>
      </c>
      <c r="H1277">
        <v>92432</v>
      </c>
      <c r="I1277">
        <v>18630</v>
      </c>
      <c r="J1277">
        <v>60474</v>
      </c>
      <c r="K1277">
        <v>2023</v>
      </c>
    </row>
    <row r="1278" spans="1:11" x14ac:dyDescent="0.3">
      <c r="A1278">
        <v>51</v>
      </c>
      <c r="B1278" s="1" t="s">
        <v>124</v>
      </c>
      <c r="C1278" s="1" t="s">
        <v>47</v>
      </c>
      <c r="D1278">
        <v>604120</v>
      </c>
      <c r="E1278" s="3">
        <v>797616</v>
      </c>
      <c r="F1278">
        <v>93778</v>
      </c>
      <c r="G1278">
        <v>68</v>
      </c>
      <c r="H1278">
        <v>64884</v>
      </c>
      <c r="I1278">
        <v>24833</v>
      </c>
      <c r="J1278">
        <v>88476</v>
      </c>
      <c r="K1278">
        <v>2023</v>
      </c>
    </row>
    <row r="1279" spans="1:11" x14ac:dyDescent="0.3">
      <c r="A1279">
        <v>52</v>
      </c>
      <c r="B1279" s="1" t="s">
        <v>45</v>
      </c>
      <c r="C1279" s="1" t="s">
        <v>26</v>
      </c>
      <c r="D1279">
        <v>602370</v>
      </c>
      <c r="E1279" s="3">
        <v>722632</v>
      </c>
      <c r="F1279">
        <v>85707</v>
      </c>
      <c r="G1279">
        <v>67</v>
      </c>
      <c r="H1279">
        <v>76071</v>
      </c>
      <c r="I1279">
        <v>20975</v>
      </c>
      <c r="J1279">
        <v>85303</v>
      </c>
      <c r="K1279">
        <v>2023</v>
      </c>
    </row>
    <row r="1280" spans="1:11" x14ac:dyDescent="0.3">
      <c r="A1280">
        <v>53</v>
      </c>
      <c r="B1280" s="1" t="s">
        <v>125</v>
      </c>
      <c r="C1280" s="1" t="s">
        <v>26</v>
      </c>
      <c r="D1280">
        <v>602250</v>
      </c>
      <c r="E1280" s="3">
        <v>506831</v>
      </c>
      <c r="F1280">
        <v>66162</v>
      </c>
      <c r="G1280">
        <v>64</v>
      </c>
      <c r="H1280">
        <v>79509</v>
      </c>
      <c r="I1280">
        <v>44756</v>
      </c>
      <c r="J1280">
        <v>88992</v>
      </c>
      <c r="K1280">
        <v>2023</v>
      </c>
    </row>
    <row r="1281" spans="1:11" x14ac:dyDescent="0.3">
      <c r="A1281">
        <v>54</v>
      </c>
      <c r="B1281" s="1" t="s">
        <v>61</v>
      </c>
      <c r="C1281" s="1" t="s">
        <v>62</v>
      </c>
      <c r="D1281">
        <v>601430</v>
      </c>
      <c r="E1281" s="3">
        <v>557893</v>
      </c>
      <c r="F1281">
        <v>83191</v>
      </c>
      <c r="G1281">
        <v>65</v>
      </c>
      <c r="H1281">
        <v>95948</v>
      </c>
      <c r="I1281">
        <v>61580</v>
      </c>
      <c r="J1281">
        <v>62845</v>
      </c>
      <c r="K1281">
        <v>2023</v>
      </c>
    </row>
    <row r="1282" spans="1:11" x14ac:dyDescent="0.3">
      <c r="A1282">
        <v>55</v>
      </c>
      <c r="B1282" s="1" t="s">
        <v>79</v>
      </c>
      <c r="C1282" s="1" t="s">
        <v>39</v>
      </c>
      <c r="D1282">
        <v>601230</v>
      </c>
      <c r="E1282" s="3">
        <v>756920</v>
      </c>
      <c r="F1282">
        <v>71315</v>
      </c>
      <c r="G1282">
        <v>66</v>
      </c>
      <c r="H1282">
        <v>85394</v>
      </c>
      <c r="I1282">
        <v>52677</v>
      </c>
      <c r="J1282">
        <v>78209</v>
      </c>
      <c r="K1282">
        <v>2023</v>
      </c>
    </row>
    <row r="1283" spans="1:11" x14ac:dyDescent="0.3">
      <c r="A1283">
        <v>56</v>
      </c>
      <c r="B1283" s="1" t="s">
        <v>108</v>
      </c>
      <c r="C1283" s="1" t="s">
        <v>12</v>
      </c>
      <c r="D1283">
        <v>596800</v>
      </c>
      <c r="E1283" s="3">
        <v>799242</v>
      </c>
      <c r="F1283">
        <v>83693</v>
      </c>
      <c r="G1283">
        <v>71</v>
      </c>
      <c r="H1283">
        <v>89828</v>
      </c>
      <c r="I1283">
        <v>7408</v>
      </c>
      <c r="J1283">
        <v>93485</v>
      </c>
      <c r="K1283">
        <v>2023</v>
      </c>
    </row>
    <row r="1284" spans="1:11" x14ac:dyDescent="0.3">
      <c r="A1284">
        <v>57</v>
      </c>
      <c r="B1284" s="1" t="s">
        <v>65</v>
      </c>
      <c r="C1284" s="1" t="s">
        <v>55</v>
      </c>
      <c r="D1284">
        <v>595110</v>
      </c>
      <c r="E1284" s="3">
        <v>842289</v>
      </c>
      <c r="F1284">
        <v>73343</v>
      </c>
      <c r="G1284">
        <v>74</v>
      </c>
      <c r="H1284">
        <v>57814</v>
      </c>
      <c r="I1284">
        <v>26482</v>
      </c>
      <c r="J1284">
        <v>70892</v>
      </c>
      <c r="K1284">
        <v>2023</v>
      </c>
    </row>
    <row r="1285" spans="1:11" x14ac:dyDescent="0.3">
      <c r="A1285">
        <v>58</v>
      </c>
      <c r="B1285" s="1" t="s">
        <v>122</v>
      </c>
      <c r="C1285" s="1" t="s">
        <v>24</v>
      </c>
      <c r="D1285">
        <v>593090</v>
      </c>
      <c r="E1285" s="3">
        <v>776334</v>
      </c>
      <c r="F1285">
        <v>76983</v>
      </c>
      <c r="G1285">
        <v>71</v>
      </c>
      <c r="H1285">
        <v>32130</v>
      </c>
      <c r="I1285">
        <v>1872</v>
      </c>
      <c r="J1285">
        <v>82647</v>
      </c>
      <c r="K1285">
        <v>2023</v>
      </c>
    </row>
    <row r="1286" spans="1:11" x14ac:dyDescent="0.3">
      <c r="A1286">
        <v>59</v>
      </c>
      <c r="B1286" s="1" t="s">
        <v>89</v>
      </c>
      <c r="C1286" s="1" t="s">
        <v>90</v>
      </c>
      <c r="D1286">
        <v>590230</v>
      </c>
      <c r="E1286" s="3">
        <v>722373</v>
      </c>
      <c r="F1286">
        <v>85309</v>
      </c>
      <c r="G1286">
        <v>64</v>
      </c>
      <c r="H1286">
        <v>74392</v>
      </c>
      <c r="I1286">
        <v>28772</v>
      </c>
      <c r="J1286">
        <v>80308</v>
      </c>
      <c r="K1286">
        <v>2023</v>
      </c>
    </row>
    <row r="1287" spans="1:11" x14ac:dyDescent="0.3">
      <c r="A1287">
        <v>60</v>
      </c>
      <c r="B1287" s="1" t="s">
        <v>50</v>
      </c>
      <c r="C1287" s="1" t="s">
        <v>39</v>
      </c>
      <c r="D1287">
        <v>584300</v>
      </c>
      <c r="E1287" s="3">
        <v>688830</v>
      </c>
      <c r="F1287">
        <v>82996</v>
      </c>
      <c r="G1287">
        <v>68</v>
      </c>
      <c r="H1287">
        <v>80842</v>
      </c>
      <c r="I1287">
        <v>69105</v>
      </c>
      <c r="J1287">
        <v>97612</v>
      </c>
      <c r="K1287">
        <v>2023</v>
      </c>
    </row>
    <row r="1288" spans="1:11" x14ac:dyDescent="0.3">
      <c r="A1288">
        <v>61</v>
      </c>
      <c r="B1288" s="1" t="s">
        <v>120</v>
      </c>
      <c r="C1288" s="1" t="s">
        <v>55</v>
      </c>
      <c r="D1288">
        <v>584020</v>
      </c>
      <c r="E1288" s="3">
        <v>627027</v>
      </c>
      <c r="F1288">
        <v>92248</v>
      </c>
      <c r="G1288">
        <v>60</v>
      </c>
      <c r="H1288">
        <v>55112</v>
      </c>
      <c r="I1288">
        <v>56607</v>
      </c>
      <c r="J1288">
        <v>89736</v>
      </c>
      <c r="K1288">
        <v>2023</v>
      </c>
    </row>
    <row r="1289" spans="1:11" x14ac:dyDescent="0.3">
      <c r="A1289">
        <v>62</v>
      </c>
      <c r="B1289" s="1" t="s">
        <v>96</v>
      </c>
      <c r="C1289" s="1" t="s">
        <v>62</v>
      </c>
      <c r="D1289">
        <v>582530</v>
      </c>
      <c r="E1289" s="3">
        <v>482472</v>
      </c>
      <c r="F1289">
        <v>88867</v>
      </c>
      <c r="G1289">
        <v>67</v>
      </c>
      <c r="H1289">
        <v>95323</v>
      </c>
      <c r="I1289">
        <v>55447</v>
      </c>
      <c r="J1289">
        <v>96769</v>
      </c>
      <c r="K1289">
        <v>2023</v>
      </c>
    </row>
    <row r="1290" spans="1:11" x14ac:dyDescent="0.3">
      <c r="A1290">
        <v>63</v>
      </c>
      <c r="B1290" s="1" t="s">
        <v>70</v>
      </c>
      <c r="C1290" s="1" t="s">
        <v>47</v>
      </c>
      <c r="D1290">
        <v>581920</v>
      </c>
      <c r="E1290" s="3">
        <v>647629</v>
      </c>
      <c r="F1290">
        <v>80365</v>
      </c>
      <c r="G1290">
        <v>65</v>
      </c>
      <c r="H1290">
        <v>79010</v>
      </c>
      <c r="I1290">
        <v>22171</v>
      </c>
      <c r="J1290">
        <v>96394</v>
      </c>
      <c r="K1290">
        <v>2023</v>
      </c>
    </row>
    <row r="1291" spans="1:11" x14ac:dyDescent="0.3">
      <c r="A1291">
        <v>64</v>
      </c>
      <c r="B1291" s="1" t="s">
        <v>104</v>
      </c>
      <c r="C1291" s="1" t="s">
        <v>55</v>
      </c>
      <c r="D1291">
        <v>581790</v>
      </c>
      <c r="E1291" s="3">
        <v>686644</v>
      </c>
      <c r="F1291">
        <v>77100</v>
      </c>
      <c r="G1291">
        <v>69</v>
      </c>
      <c r="H1291">
        <v>86285</v>
      </c>
      <c r="I1291">
        <v>27174</v>
      </c>
      <c r="J1291">
        <v>74219</v>
      </c>
      <c r="K1291">
        <v>2023</v>
      </c>
    </row>
    <row r="1292" spans="1:11" x14ac:dyDescent="0.3">
      <c r="A1292">
        <v>65</v>
      </c>
      <c r="B1292" s="1" t="s">
        <v>94</v>
      </c>
      <c r="C1292" s="1" t="s">
        <v>39</v>
      </c>
      <c r="D1292">
        <v>576330</v>
      </c>
      <c r="E1292" s="3">
        <v>613089</v>
      </c>
      <c r="F1292">
        <v>74830</v>
      </c>
      <c r="G1292">
        <v>66</v>
      </c>
      <c r="H1292">
        <v>96073</v>
      </c>
      <c r="I1292">
        <v>31901</v>
      </c>
      <c r="J1292">
        <v>78257</v>
      </c>
      <c r="K1292">
        <v>2023</v>
      </c>
    </row>
    <row r="1293" spans="1:11" x14ac:dyDescent="0.3">
      <c r="A1293">
        <v>66</v>
      </c>
      <c r="B1293" s="1" t="s">
        <v>71</v>
      </c>
      <c r="C1293" s="1" t="s">
        <v>26</v>
      </c>
      <c r="D1293">
        <v>573780</v>
      </c>
      <c r="E1293" s="3">
        <v>649413</v>
      </c>
      <c r="F1293">
        <v>88074</v>
      </c>
      <c r="G1293">
        <v>66</v>
      </c>
      <c r="H1293">
        <v>87829</v>
      </c>
      <c r="I1293">
        <v>35005</v>
      </c>
      <c r="J1293">
        <v>88953</v>
      </c>
      <c r="K1293">
        <v>2023</v>
      </c>
    </row>
    <row r="1294" spans="1:11" x14ac:dyDescent="0.3">
      <c r="A1294">
        <v>67</v>
      </c>
      <c r="B1294" s="1" t="s">
        <v>102</v>
      </c>
      <c r="C1294" s="1" t="s">
        <v>47</v>
      </c>
      <c r="D1294">
        <v>572220</v>
      </c>
      <c r="E1294" s="3">
        <v>698795</v>
      </c>
      <c r="F1294">
        <v>85507</v>
      </c>
      <c r="G1294">
        <v>67</v>
      </c>
      <c r="H1294">
        <v>73022</v>
      </c>
      <c r="I1294">
        <v>40445</v>
      </c>
      <c r="J1294">
        <v>89189</v>
      </c>
      <c r="K1294">
        <v>2023</v>
      </c>
    </row>
    <row r="1295" spans="1:11" x14ac:dyDescent="0.3">
      <c r="A1295">
        <v>68</v>
      </c>
      <c r="B1295" s="1" t="s">
        <v>83</v>
      </c>
      <c r="C1295" s="1" t="s">
        <v>26</v>
      </c>
      <c r="D1295">
        <v>570270</v>
      </c>
      <c r="E1295" s="3">
        <v>593143</v>
      </c>
      <c r="F1295">
        <v>82031</v>
      </c>
      <c r="G1295">
        <v>67</v>
      </c>
      <c r="H1295">
        <v>76020</v>
      </c>
      <c r="I1295">
        <v>18840</v>
      </c>
      <c r="J1295">
        <v>93100</v>
      </c>
      <c r="K1295">
        <v>2023</v>
      </c>
    </row>
    <row r="1296" spans="1:11" x14ac:dyDescent="0.3">
      <c r="A1296">
        <v>69</v>
      </c>
      <c r="B1296" s="1" t="s">
        <v>69</v>
      </c>
      <c r="C1296" s="1" t="s">
        <v>26</v>
      </c>
      <c r="D1296">
        <v>568430</v>
      </c>
      <c r="E1296" s="3">
        <v>563795</v>
      </c>
      <c r="F1296">
        <v>73301</v>
      </c>
      <c r="G1296">
        <v>64</v>
      </c>
      <c r="H1296">
        <v>83951</v>
      </c>
      <c r="I1296">
        <v>24382</v>
      </c>
      <c r="J1296">
        <v>89362</v>
      </c>
      <c r="K1296">
        <v>2023</v>
      </c>
    </row>
    <row r="1297" spans="1:11" x14ac:dyDescent="0.3">
      <c r="A1297">
        <v>70</v>
      </c>
      <c r="B1297" s="1" t="s">
        <v>82</v>
      </c>
      <c r="C1297" s="1" t="s">
        <v>62</v>
      </c>
      <c r="D1297">
        <v>566070</v>
      </c>
      <c r="E1297" s="3">
        <v>763550</v>
      </c>
      <c r="F1297">
        <v>85360</v>
      </c>
      <c r="G1297">
        <v>65</v>
      </c>
      <c r="H1297">
        <v>58253</v>
      </c>
      <c r="I1297">
        <v>28501</v>
      </c>
      <c r="J1297">
        <v>83694</v>
      </c>
      <c r="K1297">
        <v>2023</v>
      </c>
    </row>
    <row r="1298" spans="1:11" x14ac:dyDescent="0.3">
      <c r="A1298">
        <v>71</v>
      </c>
      <c r="B1298" s="1" t="s">
        <v>116</v>
      </c>
      <c r="C1298" s="1" t="s">
        <v>47</v>
      </c>
      <c r="D1298">
        <v>563250</v>
      </c>
      <c r="E1298" s="3">
        <v>666703</v>
      </c>
      <c r="F1298">
        <v>84056</v>
      </c>
      <c r="G1298">
        <v>67</v>
      </c>
      <c r="H1298">
        <v>62870</v>
      </c>
      <c r="I1298">
        <v>58636</v>
      </c>
      <c r="J1298">
        <v>98525</v>
      </c>
      <c r="K1298">
        <v>2023</v>
      </c>
    </row>
    <row r="1299" spans="1:11" x14ac:dyDescent="0.3">
      <c r="A1299">
        <v>72</v>
      </c>
      <c r="B1299" s="1" t="s">
        <v>49</v>
      </c>
      <c r="C1299" s="1" t="s">
        <v>26</v>
      </c>
      <c r="D1299">
        <v>563040</v>
      </c>
      <c r="E1299" s="3">
        <v>661594</v>
      </c>
      <c r="F1299">
        <v>74912</v>
      </c>
      <c r="G1299">
        <v>69</v>
      </c>
      <c r="H1299">
        <v>72895</v>
      </c>
      <c r="I1299">
        <v>19087</v>
      </c>
      <c r="J1299">
        <v>87797</v>
      </c>
      <c r="K1299">
        <v>2023</v>
      </c>
    </row>
    <row r="1300" spans="1:11" x14ac:dyDescent="0.3">
      <c r="A1300">
        <v>73</v>
      </c>
      <c r="B1300" s="1" t="s">
        <v>118</v>
      </c>
      <c r="C1300" s="1" t="s">
        <v>26</v>
      </c>
      <c r="D1300">
        <v>556890</v>
      </c>
      <c r="E1300" s="3">
        <v>698469</v>
      </c>
      <c r="F1300">
        <v>75753</v>
      </c>
      <c r="G1300">
        <v>64</v>
      </c>
      <c r="H1300">
        <v>80788</v>
      </c>
      <c r="I1300">
        <v>19790</v>
      </c>
      <c r="J1300">
        <v>65223</v>
      </c>
      <c r="K1300">
        <v>2023</v>
      </c>
    </row>
    <row r="1301" spans="1:11" x14ac:dyDescent="0.3">
      <c r="A1301">
        <v>74</v>
      </c>
      <c r="B1301" s="1" t="s">
        <v>66</v>
      </c>
      <c r="C1301" s="1" t="s">
        <v>26</v>
      </c>
      <c r="D1301">
        <v>555890</v>
      </c>
      <c r="E1301" s="3">
        <v>610362</v>
      </c>
      <c r="F1301">
        <v>72430</v>
      </c>
      <c r="G1301">
        <v>69</v>
      </c>
      <c r="H1301">
        <v>72544</v>
      </c>
      <c r="I1301">
        <v>18660</v>
      </c>
      <c r="J1301">
        <v>87672</v>
      </c>
      <c r="K1301">
        <v>2023</v>
      </c>
    </row>
    <row r="1302" spans="1:11" x14ac:dyDescent="0.3">
      <c r="A1302">
        <v>75</v>
      </c>
      <c r="B1302" s="1" t="s">
        <v>76</v>
      </c>
      <c r="C1302" s="1" t="s">
        <v>26</v>
      </c>
      <c r="D1302">
        <v>552590</v>
      </c>
      <c r="E1302" s="3">
        <v>631771</v>
      </c>
      <c r="F1302">
        <v>71215</v>
      </c>
      <c r="G1302">
        <v>70</v>
      </c>
      <c r="H1302">
        <v>71189</v>
      </c>
      <c r="I1302">
        <v>17237</v>
      </c>
      <c r="J1302">
        <v>95226</v>
      </c>
      <c r="K1302">
        <v>2023</v>
      </c>
    </row>
    <row r="1303" spans="1:11" x14ac:dyDescent="0.3">
      <c r="A1303">
        <v>76</v>
      </c>
      <c r="B1303" s="1" t="s">
        <v>110</v>
      </c>
      <c r="C1303" s="1" t="s">
        <v>39</v>
      </c>
      <c r="D1303">
        <v>552290</v>
      </c>
      <c r="E1303" s="3">
        <v>562837</v>
      </c>
      <c r="F1303">
        <v>68402</v>
      </c>
      <c r="G1303">
        <v>62</v>
      </c>
      <c r="H1303">
        <v>92607</v>
      </c>
      <c r="I1303">
        <v>24742</v>
      </c>
      <c r="J1303">
        <v>74840</v>
      </c>
      <c r="K1303">
        <v>2023</v>
      </c>
    </row>
    <row r="1304" spans="1:11" x14ac:dyDescent="0.3">
      <c r="A1304">
        <v>77</v>
      </c>
      <c r="B1304" s="1" t="s">
        <v>154</v>
      </c>
      <c r="C1304" s="1" t="s">
        <v>47</v>
      </c>
      <c r="D1304">
        <v>546610</v>
      </c>
      <c r="E1304" s="3">
        <v>743485</v>
      </c>
      <c r="F1304">
        <v>89974</v>
      </c>
      <c r="G1304">
        <v>66</v>
      </c>
      <c r="H1304">
        <v>72252</v>
      </c>
      <c r="I1304">
        <v>25132</v>
      </c>
      <c r="J1304">
        <v>97687</v>
      </c>
      <c r="K1304">
        <v>2023</v>
      </c>
    </row>
    <row r="1305" spans="1:11" x14ac:dyDescent="0.3">
      <c r="A1305">
        <v>78</v>
      </c>
      <c r="B1305" s="1" t="s">
        <v>141</v>
      </c>
      <c r="C1305" s="1" t="s">
        <v>99</v>
      </c>
      <c r="D1305">
        <v>536030</v>
      </c>
      <c r="E1305" s="3">
        <v>445000</v>
      </c>
      <c r="F1305">
        <v>63400</v>
      </c>
      <c r="G1305">
        <v>62</v>
      </c>
      <c r="H1305">
        <v>73531</v>
      </c>
      <c r="I1305">
        <v>50939</v>
      </c>
      <c r="J1305">
        <v>81390</v>
      </c>
      <c r="K1305">
        <v>2023</v>
      </c>
    </row>
    <row r="1306" spans="1:11" x14ac:dyDescent="0.3">
      <c r="A1306">
        <v>79</v>
      </c>
      <c r="B1306" s="1" t="s">
        <v>147</v>
      </c>
      <c r="C1306" s="1" t="s">
        <v>62</v>
      </c>
      <c r="D1306">
        <v>534170</v>
      </c>
      <c r="E1306" s="3">
        <v>666532</v>
      </c>
      <c r="F1306">
        <v>70009</v>
      </c>
      <c r="G1306">
        <v>68</v>
      </c>
      <c r="H1306">
        <v>71402</v>
      </c>
      <c r="I1306">
        <v>12596</v>
      </c>
      <c r="J1306">
        <v>71435</v>
      </c>
      <c r="K1306">
        <v>2023</v>
      </c>
    </row>
    <row r="1307" spans="1:11" x14ac:dyDescent="0.3">
      <c r="A1307">
        <v>80</v>
      </c>
      <c r="B1307" s="1" t="s">
        <v>126</v>
      </c>
      <c r="C1307" s="1" t="s">
        <v>62</v>
      </c>
      <c r="D1307">
        <v>532980</v>
      </c>
      <c r="E1307" s="3">
        <v>441825</v>
      </c>
      <c r="F1307">
        <v>77080</v>
      </c>
      <c r="G1307">
        <v>62</v>
      </c>
      <c r="H1307">
        <v>77680</v>
      </c>
      <c r="I1307">
        <v>24758</v>
      </c>
      <c r="J1307">
        <v>47954</v>
      </c>
      <c r="K1307">
        <v>2023</v>
      </c>
    </row>
    <row r="1308" spans="1:11" x14ac:dyDescent="0.3">
      <c r="A1308">
        <v>81</v>
      </c>
      <c r="B1308" s="1" t="s">
        <v>187</v>
      </c>
      <c r="C1308" s="1" t="s">
        <v>90</v>
      </c>
      <c r="D1308">
        <v>532910</v>
      </c>
      <c r="E1308" s="3">
        <v>615254</v>
      </c>
      <c r="F1308">
        <v>80144</v>
      </c>
      <c r="G1308">
        <v>67</v>
      </c>
      <c r="H1308">
        <v>32703</v>
      </c>
      <c r="I1308">
        <v>17425</v>
      </c>
      <c r="J1308">
        <v>72900</v>
      </c>
      <c r="K1308">
        <v>2023</v>
      </c>
    </row>
    <row r="1309" spans="1:11" x14ac:dyDescent="0.3">
      <c r="A1309">
        <v>82</v>
      </c>
      <c r="B1309" s="1" t="s">
        <v>185</v>
      </c>
      <c r="C1309" s="1" t="s">
        <v>55</v>
      </c>
      <c r="D1309">
        <v>530850</v>
      </c>
      <c r="E1309" s="3">
        <v>886926</v>
      </c>
      <c r="F1309">
        <v>74172</v>
      </c>
      <c r="G1309">
        <v>77</v>
      </c>
      <c r="H1309">
        <v>52727</v>
      </c>
      <c r="I1309">
        <v>29069</v>
      </c>
      <c r="J1309">
        <v>30460</v>
      </c>
      <c r="K1309">
        <v>2023</v>
      </c>
    </row>
    <row r="1310" spans="1:11" x14ac:dyDescent="0.3">
      <c r="A1310">
        <v>83</v>
      </c>
      <c r="B1310" s="1" t="s">
        <v>115</v>
      </c>
      <c r="C1310" s="1" t="s">
        <v>47</v>
      </c>
      <c r="D1310">
        <v>527730</v>
      </c>
      <c r="E1310" s="3">
        <v>658829</v>
      </c>
      <c r="F1310">
        <v>58729</v>
      </c>
      <c r="G1310">
        <v>69</v>
      </c>
      <c r="H1310">
        <v>71181</v>
      </c>
      <c r="I1310">
        <v>31482</v>
      </c>
      <c r="J1310">
        <v>93487</v>
      </c>
      <c r="K1310">
        <v>2023</v>
      </c>
    </row>
    <row r="1311" spans="1:11" x14ac:dyDescent="0.3">
      <c r="A1311">
        <v>84</v>
      </c>
      <c r="B1311" s="1" t="s">
        <v>93</v>
      </c>
      <c r="C1311" s="1" t="s">
        <v>39</v>
      </c>
      <c r="D1311">
        <v>527690</v>
      </c>
      <c r="E1311" s="3">
        <v>629103</v>
      </c>
      <c r="F1311">
        <v>72154</v>
      </c>
      <c r="G1311">
        <v>63</v>
      </c>
      <c r="H1311">
        <v>85978</v>
      </c>
      <c r="I1311">
        <v>100000</v>
      </c>
      <c r="J1311">
        <v>93218</v>
      </c>
      <c r="K1311">
        <v>2023</v>
      </c>
    </row>
    <row r="1312" spans="1:11" x14ac:dyDescent="0.3">
      <c r="A1312">
        <v>85</v>
      </c>
      <c r="B1312" s="1" t="s">
        <v>133</v>
      </c>
      <c r="C1312" s="1" t="s">
        <v>90</v>
      </c>
      <c r="D1312">
        <v>527460</v>
      </c>
      <c r="E1312" s="3">
        <v>644165</v>
      </c>
      <c r="F1312">
        <v>88162</v>
      </c>
      <c r="G1312">
        <v>57</v>
      </c>
      <c r="H1312">
        <v>60099</v>
      </c>
      <c r="I1312">
        <v>21338</v>
      </c>
      <c r="J1312">
        <v>96558</v>
      </c>
      <c r="K1312">
        <v>2023</v>
      </c>
    </row>
    <row r="1313" spans="1:11" x14ac:dyDescent="0.3">
      <c r="A1313">
        <v>86</v>
      </c>
      <c r="B1313" s="1" t="s">
        <v>159</v>
      </c>
      <c r="C1313" s="1" t="s">
        <v>90</v>
      </c>
      <c r="D1313">
        <v>526710</v>
      </c>
      <c r="E1313" s="3">
        <v>418781</v>
      </c>
      <c r="F1313">
        <v>41059</v>
      </c>
      <c r="G1313">
        <v>57</v>
      </c>
      <c r="H1313">
        <v>60093</v>
      </c>
      <c r="I1313">
        <v>31812</v>
      </c>
      <c r="J1313">
        <v>75746</v>
      </c>
      <c r="K1313">
        <v>2023</v>
      </c>
    </row>
    <row r="1314" spans="1:11" x14ac:dyDescent="0.3">
      <c r="A1314">
        <v>87</v>
      </c>
      <c r="B1314" s="1" t="s">
        <v>191</v>
      </c>
      <c r="C1314" s="1" t="s">
        <v>47</v>
      </c>
      <c r="D1314">
        <v>525360</v>
      </c>
      <c r="E1314" s="3">
        <v>680954</v>
      </c>
      <c r="F1314">
        <v>72273</v>
      </c>
      <c r="G1314">
        <v>67</v>
      </c>
      <c r="H1314">
        <v>66807</v>
      </c>
      <c r="I1314">
        <v>49069</v>
      </c>
      <c r="J1314">
        <v>96504</v>
      </c>
      <c r="K1314">
        <v>2023</v>
      </c>
    </row>
    <row r="1315" spans="1:11" x14ac:dyDescent="0.3">
      <c r="A1315">
        <v>88</v>
      </c>
      <c r="B1315" s="1" t="s">
        <v>37</v>
      </c>
      <c r="C1315" s="1" t="s">
        <v>26</v>
      </c>
      <c r="D1315">
        <v>521060</v>
      </c>
      <c r="E1315" s="3">
        <v>0</v>
      </c>
      <c r="F1315">
        <v>77587</v>
      </c>
      <c r="G1315">
        <v>64</v>
      </c>
      <c r="H1315">
        <v>47789</v>
      </c>
      <c r="I1315">
        <v>48704</v>
      </c>
      <c r="J1315">
        <v>84973</v>
      </c>
      <c r="K1315">
        <v>2023</v>
      </c>
    </row>
    <row r="1316" spans="1:11" x14ac:dyDescent="0.3">
      <c r="A1316">
        <v>89</v>
      </c>
      <c r="B1316" s="1" t="s">
        <v>119</v>
      </c>
      <c r="C1316" s="1" t="s">
        <v>55</v>
      </c>
      <c r="D1316">
        <v>511070</v>
      </c>
      <c r="E1316" s="3">
        <v>560176</v>
      </c>
      <c r="F1316">
        <v>52653</v>
      </c>
      <c r="G1316">
        <v>61</v>
      </c>
      <c r="H1316">
        <v>92660</v>
      </c>
      <c r="I1316">
        <v>43946</v>
      </c>
      <c r="J1316">
        <v>71063</v>
      </c>
      <c r="K1316">
        <v>2023</v>
      </c>
    </row>
    <row r="1317" spans="1:11" x14ac:dyDescent="0.3">
      <c r="A1317">
        <v>90</v>
      </c>
      <c r="B1317" s="1" t="s">
        <v>150</v>
      </c>
      <c r="C1317" s="1" t="s">
        <v>62</v>
      </c>
      <c r="D1317">
        <v>510910</v>
      </c>
      <c r="E1317" s="3">
        <v>671676</v>
      </c>
      <c r="F1317">
        <v>58458</v>
      </c>
      <c r="G1317">
        <v>65</v>
      </c>
      <c r="H1317">
        <v>69826</v>
      </c>
      <c r="I1317">
        <v>0</v>
      </c>
      <c r="J1317">
        <v>64214</v>
      </c>
      <c r="K1317">
        <v>2023</v>
      </c>
    </row>
    <row r="1318" spans="1:11" x14ac:dyDescent="0.3">
      <c r="A1318">
        <v>91</v>
      </c>
      <c r="B1318" s="1" t="s">
        <v>170</v>
      </c>
      <c r="C1318" s="1" t="s">
        <v>90</v>
      </c>
      <c r="D1318">
        <v>507170</v>
      </c>
      <c r="E1318" s="3">
        <v>383773</v>
      </c>
      <c r="F1318">
        <v>47925</v>
      </c>
      <c r="G1318">
        <v>54</v>
      </c>
      <c r="H1318">
        <v>47791</v>
      </c>
      <c r="I1318">
        <v>48300</v>
      </c>
      <c r="J1318">
        <v>81849</v>
      </c>
      <c r="K1318">
        <v>2023</v>
      </c>
    </row>
    <row r="1319" spans="1:11" x14ac:dyDescent="0.3">
      <c r="A1319">
        <v>92</v>
      </c>
      <c r="B1319" s="1" t="s">
        <v>131</v>
      </c>
      <c r="C1319" s="1" t="s">
        <v>62</v>
      </c>
      <c r="D1319">
        <v>507140</v>
      </c>
      <c r="E1319" s="3">
        <v>617455</v>
      </c>
      <c r="F1319">
        <v>83623</v>
      </c>
      <c r="G1319">
        <v>65</v>
      </c>
      <c r="H1319">
        <v>71371</v>
      </c>
      <c r="I1319">
        <v>62952</v>
      </c>
      <c r="J1319">
        <v>97145</v>
      </c>
      <c r="K1319">
        <v>2023</v>
      </c>
    </row>
    <row r="1320" spans="1:11" x14ac:dyDescent="0.3">
      <c r="A1320">
        <v>93</v>
      </c>
      <c r="B1320" s="1" t="s">
        <v>171</v>
      </c>
      <c r="C1320" s="1" t="s">
        <v>90</v>
      </c>
      <c r="D1320">
        <v>505270</v>
      </c>
      <c r="E1320" s="3">
        <v>497236</v>
      </c>
      <c r="F1320">
        <v>36028</v>
      </c>
      <c r="G1320">
        <v>56</v>
      </c>
      <c r="H1320">
        <v>60544</v>
      </c>
      <c r="I1320">
        <v>32724</v>
      </c>
      <c r="J1320">
        <v>76597</v>
      </c>
      <c r="K1320">
        <v>2023</v>
      </c>
    </row>
    <row r="1321" spans="1:11" x14ac:dyDescent="0.3">
      <c r="A1321">
        <v>94</v>
      </c>
      <c r="B1321" s="1" t="s">
        <v>163</v>
      </c>
      <c r="C1321" s="1" t="s">
        <v>90</v>
      </c>
      <c r="D1321">
        <v>503470</v>
      </c>
      <c r="E1321" s="3">
        <v>653940</v>
      </c>
      <c r="F1321">
        <v>63034</v>
      </c>
      <c r="G1321">
        <v>58</v>
      </c>
      <c r="H1321">
        <v>44869</v>
      </c>
      <c r="I1321">
        <v>8561</v>
      </c>
      <c r="J1321">
        <v>81765</v>
      </c>
      <c r="K1321">
        <v>2023</v>
      </c>
    </row>
    <row r="1322" spans="1:11" x14ac:dyDescent="0.3">
      <c r="A1322">
        <v>95</v>
      </c>
      <c r="B1322" s="1" t="s">
        <v>97</v>
      </c>
      <c r="C1322" s="1" t="s">
        <v>90</v>
      </c>
      <c r="D1322">
        <v>498060</v>
      </c>
      <c r="E1322" s="3">
        <v>484103</v>
      </c>
      <c r="F1322">
        <v>62145</v>
      </c>
      <c r="G1322">
        <v>55</v>
      </c>
      <c r="H1322">
        <v>58086</v>
      </c>
      <c r="I1322">
        <v>41637</v>
      </c>
      <c r="J1322">
        <v>97711</v>
      </c>
      <c r="K1322">
        <v>2023</v>
      </c>
    </row>
    <row r="1323" spans="1:11" x14ac:dyDescent="0.3">
      <c r="A1323">
        <v>96</v>
      </c>
      <c r="B1323" s="1" t="s">
        <v>153</v>
      </c>
      <c r="C1323" s="1" t="s">
        <v>90</v>
      </c>
      <c r="D1323">
        <v>497320</v>
      </c>
      <c r="E1323" s="3">
        <v>438599</v>
      </c>
      <c r="F1323">
        <v>53789</v>
      </c>
      <c r="G1323">
        <v>56</v>
      </c>
      <c r="H1323">
        <v>52545</v>
      </c>
      <c r="I1323">
        <v>34244</v>
      </c>
      <c r="J1323">
        <v>89435</v>
      </c>
      <c r="K1323">
        <v>2023</v>
      </c>
    </row>
    <row r="1324" spans="1:11" x14ac:dyDescent="0.3">
      <c r="A1324">
        <v>97</v>
      </c>
      <c r="B1324" s="1" t="s">
        <v>114</v>
      </c>
      <c r="C1324" s="1" t="s">
        <v>90</v>
      </c>
      <c r="D1324">
        <v>495400</v>
      </c>
      <c r="E1324" s="3">
        <v>259175</v>
      </c>
      <c r="F1324">
        <v>54660</v>
      </c>
      <c r="G1324">
        <v>52</v>
      </c>
      <c r="H1324">
        <v>81038</v>
      </c>
      <c r="I1324">
        <v>38307</v>
      </c>
      <c r="J1324">
        <v>65691</v>
      </c>
      <c r="K1324">
        <v>2023</v>
      </c>
    </row>
    <row r="1325" spans="1:11" x14ac:dyDescent="0.3">
      <c r="A1325">
        <v>98</v>
      </c>
      <c r="B1325" s="1" t="s">
        <v>132</v>
      </c>
      <c r="C1325" s="1" t="s">
        <v>24</v>
      </c>
      <c r="D1325">
        <v>494090</v>
      </c>
      <c r="E1325" s="3">
        <v>582354</v>
      </c>
      <c r="F1325">
        <v>58814</v>
      </c>
      <c r="G1325">
        <v>63</v>
      </c>
      <c r="H1325">
        <v>45558</v>
      </c>
      <c r="I1325">
        <v>31677</v>
      </c>
      <c r="J1325">
        <v>93253</v>
      </c>
      <c r="K1325">
        <v>2023</v>
      </c>
    </row>
    <row r="1326" spans="1:11" x14ac:dyDescent="0.3">
      <c r="A1326">
        <v>99</v>
      </c>
      <c r="B1326" s="1" t="s">
        <v>195</v>
      </c>
      <c r="C1326" s="1" t="s">
        <v>24</v>
      </c>
      <c r="D1326">
        <v>490780</v>
      </c>
      <c r="E1326" s="3">
        <v>520061</v>
      </c>
      <c r="F1326">
        <v>80811</v>
      </c>
      <c r="G1326">
        <v>39</v>
      </c>
      <c r="H1326">
        <v>53963</v>
      </c>
      <c r="I1326">
        <v>15516</v>
      </c>
      <c r="J1326">
        <v>88085</v>
      </c>
      <c r="K1326">
        <v>2023</v>
      </c>
    </row>
    <row r="1327" spans="1:11" x14ac:dyDescent="0.3">
      <c r="A1327">
        <v>100</v>
      </c>
      <c r="B1327" s="1" t="s">
        <v>112</v>
      </c>
      <c r="C1327" s="1" t="s">
        <v>24</v>
      </c>
      <c r="D1327">
        <v>490280</v>
      </c>
      <c r="E1327" s="3">
        <v>561914</v>
      </c>
      <c r="F1327">
        <v>33027</v>
      </c>
      <c r="G1327">
        <v>64</v>
      </c>
      <c r="H1327">
        <v>69966</v>
      </c>
      <c r="I1327">
        <v>2990</v>
      </c>
      <c r="J1327">
        <v>84896</v>
      </c>
      <c r="K1327">
        <v>2023</v>
      </c>
    </row>
    <row r="1328" spans="1:11" x14ac:dyDescent="0.3">
      <c r="A1328">
        <v>101</v>
      </c>
      <c r="B1328" s="1" t="s">
        <v>130</v>
      </c>
      <c r="C1328" s="1" t="s">
        <v>24</v>
      </c>
      <c r="D1328">
        <v>487630</v>
      </c>
      <c r="E1328" s="3">
        <v>665816</v>
      </c>
      <c r="F1328">
        <v>68031</v>
      </c>
      <c r="G1328">
        <v>67</v>
      </c>
      <c r="H1328">
        <v>36380</v>
      </c>
      <c r="I1328">
        <v>54376</v>
      </c>
      <c r="J1328">
        <v>76748</v>
      </c>
      <c r="K1328">
        <v>2023</v>
      </c>
    </row>
    <row r="1329" spans="1:11" x14ac:dyDescent="0.3">
      <c r="A1329">
        <v>102</v>
      </c>
      <c r="B1329" s="1" t="s">
        <v>162</v>
      </c>
      <c r="C1329" s="1" t="s">
        <v>90</v>
      </c>
      <c r="D1329">
        <v>485510</v>
      </c>
      <c r="E1329" s="3">
        <v>428578</v>
      </c>
      <c r="F1329">
        <v>44908</v>
      </c>
      <c r="G1329">
        <v>60</v>
      </c>
      <c r="H1329">
        <v>67263</v>
      </c>
      <c r="I1329">
        <v>33736</v>
      </c>
      <c r="J1329">
        <v>89374</v>
      </c>
      <c r="K1329">
        <v>2023</v>
      </c>
    </row>
    <row r="1330" spans="1:11" x14ac:dyDescent="0.3">
      <c r="A1330">
        <v>103</v>
      </c>
      <c r="B1330" s="1" t="s">
        <v>144</v>
      </c>
      <c r="C1330" s="1" t="s">
        <v>24</v>
      </c>
      <c r="D1330">
        <v>472390</v>
      </c>
      <c r="E1330" s="3">
        <v>499605</v>
      </c>
      <c r="F1330">
        <v>47186</v>
      </c>
      <c r="G1330">
        <v>60</v>
      </c>
      <c r="H1330">
        <v>41495</v>
      </c>
      <c r="I1330">
        <v>30735</v>
      </c>
      <c r="J1330">
        <v>65291</v>
      </c>
      <c r="K1330">
        <v>2023</v>
      </c>
    </row>
    <row r="1331" spans="1:11" x14ac:dyDescent="0.3">
      <c r="A1331">
        <v>104</v>
      </c>
      <c r="B1331" s="1" t="s">
        <v>172</v>
      </c>
      <c r="C1331" s="1" t="s">
        <v>90</v>
      </c>
      <c r="D1331">
        <v>463760</v>
      </c>
      <c r="E1331" s="3">
        <v>348918</v>
      </c>
      <c r="F1331">
        <v>50240</v>
      </c>
      <c r="G1331">
        <v>55</v>
      </c>
      <c r="H1331">
        <v>54301</v>
      </c>
      <c r="I1331">
        <v>44503</v>
      </c>
      <c r="J1331">
        <v>79856</v>
      </c>
      <c r="K1331">
        <v>2023</v>
      </c>
    </row>
    <row r="1332" spans="1:11" x14ac:dyDescent="0.3">
      <c r="A1332">
        <v>105</v>
      </c>
      <c r="B1332" s="1" t="s">
        <v>181</v>
      </c>
      <c r="C1332" s="1" t="s">
        <v>90</v>
      </c>
      <c r="D1332">
        <v>463080</v>
      </c>
      <c r="E1332" s="3">
        <v>585991</v>
      </c>
      <c r="F1332">
        <v>69493</v>
      </c>
      <c r="G1332">
        <v>57</v>
      </c>
      <c r="H1332">
        <v>49648</v>
      </c>
      <c r="I1332">
        <v>16381</v>
      </c>
      <c r="J1332">
        <v>87393</v>
      </c>
      <c r="K1332">
        <v>2023</v>
      </c>
    </row>
    <row r="1333" spans="1:11" x14ac:dyDescent="0.3">
      <c r="A1333">
        <v>106</v>
      </c>
      <c r="B1333" s="1" t="s">
        <v>196</v>
      </c>
      <c r="C1333" s="1" t="s">
        <v>24</v>
      </c>
      <c r="D1333">
        <v>461350</v>
      </c>
      <c r="E1333" s="3">
        <v>779376</v>
      </c>
      <c r="F1333">
        <v>70874</v>
      </c>
      <c r="G1333">
        <v>69</v>
      </c>
      <c r="H1333">
        <v>16159</v>
      </c>
      <c r="I1333">
        <v>22562</v>
      </c>
      <c r="J1333">
        <v>82861</v>
      </c>
      <c r="K1333">
        <v>2023</v>
      </c>
    </row>
    <row r="1334" spans="1:11" x14ac:dyDescent="0.3">
      <c r="A1334">
        <v>107</v>
      </c>
      <c r="B1334" s="1" t="s">
        <v>134</v>
      </c>
      <c r="C1334" s="1" t="s">
        <v>90</v>
      </c>
      <c r="D1334">
        <v>460500</v>
      </c>
      <c r="E1334" s="3">
        <v>500393</v>
      </c>
      <c r="F1334">
        <v>46684</v>
      </c>
      <c r="G1334">
        <v>59</v>
      </c>
      <c r="H1334">
        <v>68178</v>
      </c>
      <c r="I1334">
        <v>50089</v>
      </c>
      <c r="J1334">
        <v>93799</v>
      </c>
      <c r="K1334">
        <v>2023</v>
      </c>
    </row>
    <row r="1335" spans="1:11" x14ac:dyDescent="0.3">
      <c r="A1335">
        <v>108</v>
      </c>
      <c r="B1335" s="1" t="s">
        <v>101</v>
      </c>
      <c r="C1335" s="1" t="s">
        <v>99</v>
      </c>
      <c r="D1335">
        <v>455540</v>
      </c>
      <c r="E1335" s="3">
        <v>491356</v>
      </c>
      <c r="F1335">
        <v>40548</v>
      </c>
      <c r="G1335">
        <v>57</v>
      </c>
      <c r="H1335">
        <v>66240</v>
      </c>
      <c r="I1335">
        <v>33359</v>
      </c>
      <c r="J1335">
        <v>81804</v>
      </c>
      <c r="K1335">
        <v>2023</v>
      </c>
    </row>
    <row r="1336" spans="1:11" x14ac:dyDescent="0.3">
      <c r="A1336">
        <v>109</v>
      </c>
      <c r="B1336" s="1" t="s">
        <v>164</v>
      </c>
      <c r="C1336" s="1" t="s">
        <v>90</v>
      </c>
      <c r="D1336">
        <v>450130</v>
      </c>
      <c r="E1336" s="3">
        <v>255047</v>
      </c>
      <c r="F1336">
        <v>38791</v>
      </c>
      <c r="G1336">
        <v>57</v>
      </c>
      <c r="H1336">
        <v>70047</v>
      </c>
      <c r="I1336">
        <v>36475</v>
      </c>
      <c r="J1336">
        <v>75026</v>
      </c>
      <c r="K1336">
        <v>2023</v>
      </c>
    </row>
    <row r="1337" spans="1:11" x14ac:dyDescent="0.3">
      <c r="A1337">
        <v>110</v>
      </c>
      <c r="B1337" s="1" t="s">
        <v>127</v>
      </c>
      <c r="C1337" s="1" t="s">
        <v>24</v>
      </c>
      <c r="D1337">
        <v>449670</v>
      </c>
      <c r="E1337" s="3">
        <v>606018</v>
      </c>
      <c r="F1337">
        <v>60578</v>
      </c>
      <c r="G1337">
        <v>67</v>
      </c>
      <c r="H1337">
        <v>33608</v>
      </c>
      <c r="I1337">
        <v>5304</v>
      </c>
      <c r="J1337">
        <v>97145</v>
      </c>
      <c r="K1337">
        <v>2023</v>
      </c>
    </row>
    <row r="1338" spans="1:11" x14ac:dyDescent="0.3">
      <c r="A1338">
        <v>111</v>
      </c>
      <c r="B1338" s="1" t="s">
        <v>145</v>
      </c>
      <c r="C1338" s="1" t="s">
        <v>90</v>
      </c>
      <c r="D1338">
        <v>448660</v>
      </c>
      <c r="E1338" s="3">
        <v>477976</v>
      </c>
      <c r="F1338">
        <v>54377</v>
      </c>
      <c r="G1338">
        <v>58</v>
      </c>
      <c r="H1338">
        <v>54151</v>
      </c>
      <c r="I1338">
        <v>69036</v>
      </c>
      <c r="J1338">
        <v>90208</v>
      </c>
      <c r="K1338">
        <v>2023</v>
      </c>
    </row>
    <row r="1339" spans="1:11" x14ac:dyDescent="0.3">
      <c r="A1339">
        <v>112</v>
      </c>
      <c r="B1339" s="1" t="s">
        <v>152</v>
      </c>
      <c r="C1339" s="1" t="s">
        <v>99</v>
      </c>
      <c r="D1339">
        <v>444160</v>
      </c>
      <c r="E1339" s="3">
        <v>646362</v>
      </c>
      <c r="F1339">
        <v>75581</v>
      </c>
      <c r="G1339">
        <v>67</v>
      </c>
      <c r="H1339">
        <v>69841</v>
      </c>
      <c r="I1339">
        <v>28548</v>
      </c>
      <c r="J1339">
        <v>84597</v>
      </c>
      <c r="K1339">
        <v>2023</v>
      </c>
    </row>
    <row r="1340" spans="1:11" x14ac:dyDescent="0.3">
      <c r="A1340">
        <v>113</v>
      </c>
      <c r="B1340" s="1" t="s">
        <v>161</v>
      </c>
      <c r="C1340" s="1" t="s">
        <v>90</v>
      </c>
      <c r="D1340">
        <v>443250</v>
      </c>
      <c r="E1340" s="3">
        <v>356916</v>
      </c>
      <c r="F1340">
        <v>70603</v>
      </c>
      <c r="G1340">
        <v>59</v>
      </c>
      <c r="H1340">
        <v>55131</v>
      </c>
      <c r="I1340">
        <v>46841</v>
      </c>
      <c r="J1340">
        <v>90820</v>
      </c>
      <c r="K1340">
        <v>2023</v>
      </c>
    </row>
    <row r="1341" spans="1:11" x14ac:dyDescent="0.3">
      <c r="A1341">
        <v>114</v>
      </c>
      <c r="B1341" s="1" t="s">
        <v>169</v>
      </c>
      <c r="C1341" s="1" t="s">
        <v>90</v>
      </c>
      <c r="D1341">
        <v>439660</v>
      </c>
      <c r="E1341" s="3">
        <v>282788</v>
      </c>
      <c r="F1341">
        <v>59374</v>
      </c>
      <c r="G1341">
        <v>53</v>
      </c>
      <c r="H1341">
        <v>50899</v>
      </c>
      <c r="I1341">
        <v>60514</v>
      </c>
      <c r="J1341">
        <v>84370</v>
      </c>
      <c r="K1341">
        <v>2023</v>
      </c>
    </row>
    <row r="1342" spans="1:11" x14ac:dyDescent="0.3">
      <c r="A1342">
        <v>115</v>
      </c>
      <c r="B1342" s="1" t="s">
        <v>165</v>
      </c>
      <c r="C1342" s="1" t="s">
        <v>39</v>
      </c>
      <c r="D1342">
        <v>439350</v>
      </c>
      <c r="E1342" s="3">
        <v>465996</v>
      </c>
      <c r="F1342">
        <v>63193</v>
      </c>
      <c r="G1342">
        <v>62</v>
      </c>
      <c r="H1342">
        <v>99485</v>
      </c>
      <c r="I1342">
        <v>41696</v>
      </c>
      <c r="J1342">
        <v>90819</v>
      </c>
      <c r="K1342">
        <v>2023</v>
      </c>
    </row>
    <row r="1343" spans="1:11" x14ac:dyDescent="0.3">
      <c r="A1343">
        <v>116</v>
      </c>
      <c r="B1343" s="1" t="s">
        <v>175</v>
      </c>
      <c r="C1343" s="1" t="s">
        <v>90</v>
      </c>
      <c r="D1343">
        <v>437370</v>
      </c>
      <c r="E1343" s="3">
        <v>420099</v>
      </c>
      <c r="F1343">
        <v>14930</v>
      </c>
      <c r="G1343">
        <v>56</v>
      </c>
      <c r="H1343">
        <v>62390</v>
      </c>
      <c r="I1343">
        <v>26952</v>
      </c>
      <c r="J1343">
        <v>54857</v>
      </c>
      <c r="K1343">
        <v>2023</v>
      </c>
    </row>
    <row r="1344" spans="1:11" x14ac:dyDescent="0.3">
      <c r="A1344">
        <v>117</v>
      </c>
      <c r="B1344" s="1" t="s">
        <v>149</v>
      </c>
      <c r="C1344" s="1" t="s">
        <v>39</v>
      </c>
      <c r="D1344">
        <v>437250</v>
      </c>
      <c r="E1344" s="3">
        <v>469125</v>
      </c>
      <c r="F1344">
        <v>69461</v>
      </c>
      <c r="G1344">
        <v>61</v>
      </c>
      <c r="H1344">
        <v>59592</v>
      </c>
      <c r="I1344">
        <v>94910</v>
      </c>
      <c r="J1344">
        <v>65434</v>
      </c>
      <c r="K1344">
        <v>2023</v>
      </c>
    </row>
    <row r="1345" spans="1:11" x14ac:dyDescent="0.3">
      <c r="A1345">
        <v>118</v>
      </c>
      <c r="B1345" s="1" t="s">
        <v>129</v>
      </c>
      <c r="C1345" s="1" t="s">
        <v>99</v>
      </c>
      <c r="D1345">
        <v>428210</v>
      </c>
      <c r="E1345" s="3">
        <v>514926</v>
      </c>
      <c r="F1345">
        <v>31680</v>
      </c>
      <c r="G1345">
        <v>65</v>
      </c>
      <c r="H1345">
        <v>79923</v>
      </c>
      <c r="I1345">
        <v>33007</v>
      </c>
      <c r="J1345">
        <v>70509</v>
      </c>
      <c r="K1345">
        <v>2023</v>
      </c>
    </row>
    <row r="1346" spans="1:11" x14ac:dyDescent="0.3">
      <c r="A1346">
        <v>119</v>
      </c>
      <c r="B1346" s="1" t="s">
        <v>189</v>
      </c>
      <c r="C1346" s="1" t="s">
        <v>90</v>
      </c>
      <c r="D1346">
        <v>427940</v>
      </c>
      <c r="E1346" s="3">
        <v>345836</v>
      </c>
      <c r="F1346">
        <v>37888</v>
      </c>
      <c r="G1346">
        <v>58</v>
      </c>
      <c r="H1346">
        <v>37054</v>
      </c>
      <c r="I1346">
        <v>78721</v>
      </c>
      <c r="J1346">
        <v>94071</v>
      </c>
      <c r="K1346">
        <v>2023</v>
      </c>
    </row>
    <row r="1347" spans="1:11" x14ac:dyDescent="0.3">
      <c r="A1347">
        <v>120</v>
      </c>
      <c r="B1347" s="1" t="s">
        <v>158</v>
      </c>
      <c r="C1347" s="1" t="s">
        <v>90</v>
      </c>
      <c r="D1347">
        <v>419780</v>
      </c>
      <c r="E1347" s="3">
        <v>347035</v>
      </c>
      <c r="F1347">
        <v>39324</v>
      </c>
      <c r="G1347">
        <v>55</v>
      </c>
      <c r="H1347">
        <v>57125</v>
      </c>
      <c r="I1347">
        <v>28774</v>
      </c>
      <c r="J1347">
        <v>89391</v>
      </c>
      <c r="K1347">
        <v>2023</v>
      </c>
    </row>
    <row r="1348" spans="1:11" x14ac:dyDescent="0.3">
      <c r="A1348">
        <v>121</v>
      </c>
      <c r="B1348" s="1" t="s">
        <v>155</v>
      </c>
      <c r="C1348" s="1" t="s">
        <v>24</v>
      </c>
      <c r="D1348">
        <v>417050</v>
      </c>
      <c r="E1348" s="3">
        <v>626115</v>
      </c>
      <c r="F1348">
        <v>60007</v>
      </c>
      <c r="G1348">
        <v>64</v>
      </c>
      <c r="H1348">
        <v>60504</v>
      </c>
      <c r="I1348">
        <v>9084</v>
      </c>
      <c r="J1348">
        <v>55447</v>
      </c>
      <c r="K1348">
        <v>2023</v>
      </c>
    </row>
    <row r="1349" spans="1:11" x14ac:dyDescent="0.3">
      <c r="A1349">
        <v>122</v>
      </c>
      <c r="B1349" s="1" t="s">
        <v>178</v>
      </c>
      <c r="C1349" s="1" t="s">
        <v>90</v>
      </c>
      <c r="D1349">
        <v>413740</v>
      </c>
      <c r="E1349" s="3">
        <v>349986</v>
      </c>
      <c r="F1349">
        <v>39616</v>
      </c>
      <c r="G1349">
        <v>57</v>
      </c>
      <c r="H1349">
        <v>47569</v>
      </c>
      <c r="I1349">
        <v>35420</v>
      </c>
      <c r="J1349">
        <v>75826</v>
      </c>
      <c r="K1349">
        <v>2023</v>
      </c>
    </row>
    <row r="1350" spans="1:11" x14ac:dyDescent="0.3">
      <c r="A1350">
        <v>123</v>
      </c>
      <c r="B1350" s="1" t="s">
        <v>103</v>
      </c>
      <c r="C1350" s="1" t="s">
        <v>24</v>
      </c>
      <c r="D1350">
        <v>411980</v>
      </c>
      <c r="E1350" s="3">
        <v>587563</v>
      </c>
      <c r="F1350">
        <v>60493</v>
      </c>
      <c r="G1350">
        <v>68</v>
      </c>
      <c r="H1350">
        <v>67007</v>
      </c>
      <c r="I1350">
        <v>13287</v>
      </c>
      <c r="J1350">
        <v>69107</v>
      </c>
      <c r="K1350">
        <v>2023</v>
      </c>
    </row>
    <row r="1351" spans="1:11" x14ac:dyDescent="0.3">
      <c r="A1351">
        <v>124</v>
      </c>
      <c r="B1351" s="1" t="s">
        <v>142</v>
      </c>
      <c r="C1351" s="1" t="s">
        <v>90</v>
      </c>
      <c r="D1351">
        <v>409060</v>
      </c>
      <c r="E1351" s="3">
        <v>360660</v>
      </c>
      <c r="F1351">
        <v>68800</v>
      </c>
      <c r="G1351">
        <v>61</v>
      </c>
      <c r="H1351">
        <v>58409</v>
      </c>
      <c r="I1351">
        <v>67152</v>
      </c>
      <c r="J1351">
        <v>82064</v>
      </c>
      <c r="K1351">
        <v>2023</v>
      </c>
    </row>
    <row r="1352" spans="1:11" x14ac:dyDescent="0.3">
      <c r="A1352">
        <v>125</v>
      </c>
      <c r="B1352" s="1" t="s">
        <v>136</v>
      </c>
      <c r="C1352" s="1" t="s">
        <v>90</v>
      </c>
      <c r="D1352">
        <v>404230</v>
      </c>
      <c r="E1352" s="3">
        <v>285336</v>
      </c>
      <c r="F1352">
        <v>39776</v>
      </c>
      <c r="G1352">
        <v>57</v>
      </c>
      <c r="H1352">
        <v>60994</v>
      </c>
      <c r="I1352">
        <v>52007</v>
      </c>
      <c r="J1352">
        <v>87351</v>
      </c>
      <c r="K1352">
        <v>2023</v>
      </c>
    </row>
    <row r="1353" spans="1:11" x14ac:dyDescent="0.3">
      <c r="A1353">
        <v>126</v>
      </c>
      <c r="B1353" s="1" t="s">
        <v>137</v>
      </c>
      <c r="C1353" s="1" t="s">
        <v>99</v>
      </c>
      <c r="D1353">
        <v>403580</v>
      </c>
      <c r="E1353" s="3">
        <v>527009</v>
      </c>
      <c r="F1353">
        <v>41625</v>
      </c>
      <c r="G1353">
        <v>61</v>
      </c>
      <c r="H1353">
        <v>88842</v>
      </c>
      <c r="I1353">
        <v>41497</v>
      </c>
      <c r="J1353">
        <v>80139</v>
      </c>
      <c r="K1353">
        <v>2023</v>
      </c>
    </row>
    <row r="1354" spans="1:11" x14ac:dyDescent="0.3">
      <c r="A1354">
        <v>127</v>
      </c>
      <c r="B1354" s="1" t="s">
        <v>167</v>
      </c>
      <c r="C1354" s="1" t="s">
        <v>90</v>
      </c>
      <c r="D1354">
        <v>401910</v>
      </c>
      <c r="E1354" s="3">
        <v>287530</v>
      </c>
      <c r="F1354">
        <v>48122</v>
      </c>
      <c r="G1354">
        <v>58</v>
      </c>
      <c r="H1354">
        <v>24191</v>
      </c>
      <c r="I1354">
        <v>41966</v>
      </c>
      <c r="J1354">
        <v>76083</v>
      </c>
      <c r="K1354">
        <v>2023</v>
      </c>
    </row>
    <row r="1355" spans="1:11" x14ac:dyDescent="0.3">
      <c r="A1355">
        <v>128</v>
      </c>
      <c r="B1355" s="1" t="s">
        <v>105</v>
      </c>
      <c r="C1355" s="1" t="s">
        <v>90</v>
      </c>
      <c r="D1355">
        <v>398220</v>
      </c>
      <c r="E1355" s="3">
        <v>415300</v>
      </c>
      <c r="F1355">
        <v>54928</v>
      </c>
      <c r="G1355">
        <v>55</v>
      </c>
      <c r="H1355">
        <v>70585</v>
      </c>
      <c r="I1355">
        <v>44888</v>
      </c>
      <c r="J1355">
        <v>85755</v>
      </c>
      <c r="K1355">
        <v>2023</v>
      </c>
    </row>
    <row r="1356" spans="1:11" x14ac:dyDescent="0.3">
      <c r="A1356">
        <v>129</v>
      </c>
      <c r="B1356" s="1" t="s">
        <v>166</v>
      </c>
      <c r="C1356" s="1" t="s">
        <v>90</v>
      </c>
      <c r="D1356">
        <v>369380</v>
      </c>
      <c r="E1356" s="3">
        <v>380010</v>
      </c>
      <c r="F1356">
        <v>48587</v>
      </c>
      <c r="G1356">
        <v>59</v>
      </c>
      <c r="H1356">
        <v>78702</v>
      </c>
      <c r="I1356">
        <v>55528</v>
      </c>
      <c r="J1356">
        <v>52078</v>
      </c>
      <c r="K1356">
        <v>2023</v>
      </c>
    </row>
    <row r="1357" spans="1:11" x14ac:dyDescent="0.3">
      <c r="A1357">
        <v>130</v>
      </c>
      <c r="B1357" s="1" t="s">
        <v>160</v>
      </c>
      <c r="C1357" s="1" t="s">
        <v>90</v>
      </c>
      <c r="D1357">
        <v>354520</v>
      </c>
      <c r="E1357" s="3">
        <v>415421</v>
      </c>
      <c r="F1357">
        <v>20179</v>
      </c>
      <c r="G1357">
        <v>59</v>
      </c>
      <c r="H1357">
        <v>15218</v>
      </c>
      <c r="I1357">
        <v>30547</v>
      </c>
      <c r="J1357">
        <v>74189</v>
      </c>
      <c r="K1357">
        <v>2023</v>
      </c>
    </row>
    <row r="1358" spans="1:11" x14ac:dyDescent="0.3">
      <c r="A1358">
        <v>131</v>
      </c>
      <c r="B1358" s="1" t="s">
        <v>151</v>
      </c>
      <c r="C1358" s="1" t="s">
        <v>90</v>
      </c>
      <c r="D1358">
        <v>349520</v>
      </c>
      <c r="E1358" s="3">
        <v>289375</v>
      </c>
      <c r="F1358">
        <v>29547</v>
      </c>
      <c r="G1358">
        <v>58</v>
      </c>
      <c r="H1358">
        <v>63542</v>
      </c>
      <c r="I1358">
        <v>33026</v>
      </c>
      <c r="J1358">
        <v>76993</v>
      </c>
      <c r="K1358">
        <v>2023</v>
      </c>
    </row>
    <row r="1359" spans="1:11" x14ac:dyDescent="0.3">
      <c r="A1359">
        <v>132</v>
      </c>
      <c r="B1359" s="1" t="s">
        <v>148</v>
      </c>
      <c r="C1359" s="1" t="s">
        <v>90</v>
      </c>
      <c r="D1359">
        <v>343530</v>
      </c>
      <c r="E1359" s="3">
        <v>668918</v>
      </c>
      <c r="F1359">
        <v>64251</v>
      </c>
      <c r="G1359">
        <v>55</v>
      </c>
      <c r="H1359">
        <v>62199</v>
      </c>
      <c r="I1359">
        <v>5047</v>
      </c>
      <c r="J1359">
        <v>87395</v>
      </c>
      <c r="K1359">
        <v>2023</v>
      </c>
    </row>
    <row r="1360" spans="1:11" x14ac:dyDescent="0.3">
      <c r="A1360">
        <v>133</v>
      </c>
      <c r="B1360" s="1" t="s">
        <v>140</v>
      </c>
      <c r="C1360" s="1" t="s">
        <v>90</v>
      </c>
      <c r="D1360">
        <v>320720</v>
      </c>
      <c r="E1360" s="3">
        <v>241300</v>
      </c>
      <c r="F1360">
        <v>48389</v>
      </c>
      <c r="G1360">
        <v>55</v>
      </c>
      <c r="H1360">
        <v>48667</v>
      </c>
      <c r="I1360">
        <v>43310</v>
      </c>
      <c r="J1360">
        <v>87824</v>
      </c>
      <c r="K1360">
        <v>2023</v>
      </c>
    </row>
    <row r="1361" spans="1:11" x14ac:dyDescent="0.3">
      <c r="A1361">
        <v>134</v>
      </c>
      <c r="B1361" s="1" t="s">
        <v>135</v>
      </c>
      <c r="C1361" s="1" t="s">
        <v>90</v>
      </c>
      <c r="D1361">
        <v>320350</v>
      </c>
      <c r="E1361" s="3">
        <v>344725</v>
      </c>
      <c r="F1361">
        <v>54364</v>
      </c>
      <c r="G1361">
        <v>54</v>
      </c>
      <c r="H1361">
        <v>46987</v>
      </c>
      <c r="I1361">
        <v>26480</v>
      </c>
      <c r="J1361">
        <v>79117</v>
      </c>
      <c r="K1361">
        <v>2023</v>
      </c>
    </row>
    <row r="1362" spans="1:11" x14ac:dyDescent="0.3">
      <c r="A1362">
        <v>135</v>
      </c>
      <c r="B1362" s="1" t="s">
        <v>143</v>
      </c>
      <c r="C1362" s="1" t="s">
        <v>90</v>
      </c>
      <c r="D1362">
        <v>313760</v>
      </c>
      <c r="E1362" s="3">
        <v>304455</v>
      </c>
      <c r="F1362">
        <v>33361</v>
      </c>
      <c r="G1362">
        <v>55</v>
      </c>
      <c r="H1362">
        <v>48076</v>
      </c>
      <c r="I1362">
        <v>45720</v>
      </c>
      <c r="J1362">
        <v>90892</v>
      </c>
      <c r="K1362">
        <v>2023</v>
      </c>
    </row>
    <row r="1363" spans="1:11" x14ac:dyDescent="0.3">
      <c r="A1363">
        <v>136</v>
      </c>
      <c r="B1363" s="1" t="s">
        <v>123</v>
      </c>
      <c r="C1363" s="1" t="s">
        <v>24</v>
      </c>
      <c r="D1363">
        <v>239220</v>
      </c>
      <c r="E1363" s="3">
        <v>644189</v>
      </c>
      <c r="F1363">
        <v>29385</v>
      </c>
      <c r="G1363">
        <v>66</v>
      </c>
      <c r="H1363">
        <v>15913</v>
      </c>
      <c r="I1363">
        <v>14429</v>
      </c>
      <c r="J1363">
        <v>95149</v>
      </c>
      <c r="K1363">
        <v>2023</v>
      </c>
    </row>
    <row r="1364" spans="1:11" x14ac:dyDescent="0.3">
      <c r="A1364">
        <v>137</v>
      </c>
      <c r="B1364" s="1" t="s">
        <v>173</v>
      </c>
      <c r="C1364" s="1" t="s">
        <v>99</v>
      </c>
      <c r="D1364">
        <v>185900</v>
      </c>
      <c r="E1364" s="3">
        <v>293045</v>
      </c>
      <c r="F1364">
        <v>0</v>
      </c>
      <c r="G1364">
        <v>55</v>
      </c>
      <c r="H1364">
        <v>0</v>
      </c>
      <c r="I1364">
        <v>22053</v>
      </c>
      <c r="J1364">
        <v>89543</v>
      </c>
      <c r="K1364">
        <v>2023</v>
      </c>
    </row>
    <row r="1365" spans="1:11" x14ac:dyDescent="0.3">
      <c r="A1365">
        <v>1</v>
      </c>
      <c r="B1365" s="1" t="s">
        <v>18</v>
      </c>
      <c r="C1365" s="1" t="s">
        <v>12</v>
      </c>
      <c r="D1365">
        <v>774070</v>
      </c>
      <c r="E1365" s="3">
        <v>861498</v>
      </c>
      <c r="F1365">
        <v>97268</v>
      </c>
      <c r="G1365">
        <v>76</v>
      </c>
      <c r="H1365">
        <v>99532</v>
      </c>
      <c r="I1365">
        <v>35347</v>
      </c>
      <c r="J1365">
        <v>94966</v>
      </c>
      <c r="K1365">
        <v>2024</v>
      </c>
    </row>
    <row r="1366" spans="1:11" x14ac:dyDescent="0.3">
      <c r="A1366">
        <v>2</v>
      </c>
      <c r="B1366" s="1" t="s">
        <v>14</v>
      </c>
      <c r="C1366" s="1" t="s">
        <v>12</v>
      </c>
      <c r="D1366">
        <v>758270</v>
      </c>
      <c r="E1366" s="3">
        <v>891278</v>
      </c>
      <c r="F1366">
        <v>94051</v>
      </c>
      <c r="G1366">
        <v>76</v>
      </c>
      <c r="H1366">
        <v>95298</v>
      </c>
      <c r="I1366">
        <v>50792</v>
      </c>
      <c r="J1366">
        <v>95358</v>
      </c>
      <c r="K1366">
        <v>2024</v>
      </c>
    </row>
    <row r="1367" spans="1:11" x14ac:dyDescent="0.3">
      <c r="A1367">
        <v>3</v>
      </c>
      <c r="B1367" s="1" t="s">
        <v>13</v>
      </c>
      <c r="C1367" s="1" t="s">
        <v>12</v>
      </c>
      <c r="D1367">
        <v>752510</v>
      </c>
      <c r="E1367" s="3">
        <v>878627</v>
      </c>
      <c r="F1367">
        <v>100000</v>
      </c>
      <c r="G1367">
        <v>77</v>
      </c>
      <c r="H1367">
        <v>94808</v>
      </c>
      <c r="I1367">
        <v>64455</v>
      </c>
      <c r="J1367">
        <v>31728</v>
      </c>
      <c r="K1367">
        <v>2024</v>
      </c>
    </row>
    <row r="1368" spans="1:11" x14ac:dyDescent="0.3">
      <c r="A1368">
        <v>4</v>
      </c>
      <c r="B1368" s="1" t="s">
        <v>20</v>
      </c>
      <c r="C1368" s="1" t="s">
        <v>12</v>
      </c>
      <c r="D1368">
        <v>734410</v>
      </c>
      <c r="E1368" s="3">
        <v>877425</v>
      </c>
      <c r="F1368">
        <v>92843</v>
      </c>
      <c r="G1368">
        <v>77</v>
      </c>
      <c r="H1368">
        <v>97097</v>
      </c>
      <c r="I1368">
        <v>55252</v>
      </c>
      <c r="J1368">
        <v>91078</v>
      </c>
      <c r="K1368">
        <v>2024</v>
      </c>
    </row>
    <row r="1369" spans="1:11" x14ac:dyDescent="0.3">
      <c r="A1369">
        <v>5</v>
      </c>
      <c r="B1369" s="1" t="s">
        <v>23</v>
      </c>
      <c r="C1369" s="1" t="s">
        <v>24</v>
      </c>
      <c r="D1369">
        <v>734110</v>
      </c>
      <c r="E1369" s="3">
        <v>842288</v>
      </c>
      <c r="F1369">
        <v>93583</v>
      </c>
      <c r="G1369">
        <v>78</v>
      </c>
      <c r="H1369">
        <v>74301</v>
      </c>
      <c r="I1369">
        <v>38224</v>
      </c>
      <c r="J1369">
        <v>33528</v>
      </c>
      <c r="K1369">
        <v>2024</v>
      </c>
    </row>
    <row r="1370" spans="1:11" x14ac:dyDescent="0.3">
      <c r="A1370">
        <v>6</v>
      </c>
      <c r="B1370" s="1" t="s">
        <v>19</v>
      </c>
      <c r="C1370" s="1" t="s">
        <v>12</v>
      </c>
      <c r="D1370">
        <v>731940</v>
      </c>
      <c r="E1370" s="3">
        <v>887942</v>
      </c>
      <c r="F1370">
        <v>90444</v>
      </c>
      <c r="G1370">
        <v>76</v>
      </c>
      <c r="H1370">
        <v>83986</v>
      </c>
      <c r="I1370">
        <v>61715</v>
      </c>
      <c r="J1370">
        <v>64757</v>
      </c>
      <c r="K1370">
        <v>2024</v>
      </c>
    </row>
    <row r="1371" spans="1:11" x14ac:dyDescent="0.3">
      <c r="A1371">
        <v>7</v>
      </c>
      <c r="B1371" s="1" t="s">
        <v>15</v>
      </c>
      <c r="C1371" s="1" t="s">
        <v>12</v>
      </c>
      <c r="D1371">
        <v>730170</v>
      </c>
      <c r="E1371" s="3">
        <v>911908</v>
      </c>
      <c r="F1371">
        <v>93815</v>
      </c>
      <c r="G1371">
        <v>76</v>
      </c>
      <c r="H1371">
        <v>96762</v>
      </c>
      <c r="I1371">
        <v>55922</v>
      </c>
      <c r="J1371">
        <v>84146</v>
      </c>
      <c r="K1371">
        <v>2024</v>
      </c>
    </row>
    <row r="1372" spans="1:11" x14ac:dyDescent="0.3">
      <c r="A1372">
        <v>8</v>
      </c>
      <c r="B1372" s="1" t="s">
        <v>31</v>
      </c>
      <c r="C1372" s="1" t="s">
        <v>12</v>
      </c>
      <c r="D1372">
        <v>712190</v>
      </c>
      <c r="E1372" s="3">
        <v>1000000</v>
      </c>
      <c r="F1372">
        <v>83799</v>
      </c>
      <c r="G1372">
        <v>77</v>
      </c>
      <c r="H1372">
        <v>92805</v>
      </c>
      <c r="I1372">
        <v>36347</v>
      </c>
      <c r="J1372">
        <v>75188</v>
      </c>
      <c r="K1372">
        <v>2024</v>
      </c>
    </row>
    <row r="1373" spans="1:11" x14ac:dyDescent="0.3">
      <c r="A1373">
        <v>9</v>
      </c>
      <c r="B1373" s="1" t="s">
        <v>11</v>
      </c>
      <c r="C1373" s="1" t="s">
        <v>12</v>
      </c>
      <c r="D1373">
        <v>706020</v>
      </c>
      <c r="E1373" s="3">
        <v>920463</v>
      </c>
      <c r="F1373">
        <v>88148</v>
      </c>
      <c r="G1373">
        <v>78</v>
      </c>
      <c r="H1373">
        <v>87934</v>
      </c>
      <c r="I1373">
        <v>43239</v>
      </c>
      <c r="J1373">
        <v>86525</v>
      </c>
      <c r="K1373">
        <v>2024</v>
      </c>
    </row>
    <row r="1374" spans="1:11" x14ac:dyDescent="0.3">
      <c r="A1374">
        <v>10</v>
      </c>
      <c r="B1374" s="1" t="s">
        <v>22</v>
      </c>
      <c r="C1374" s="1" t="s">
        <v>17</v>
      </c>
      <c r="D1374">
        <v>705690</v>
      </c>
      <c r="E1374" s="3">
        <v>866266</v>
      </c>
      <c r="F1374">
        <v>90385</v>
      </c>
      <c r="G1374">
        <v>76</v>
      </c>
      <c r="H1374">
        <v>87599</v>
      </c>
      <c r="I1374">
        <v>56188</v>
      </c>
      <c r="J1374">
        <v>56224</v>
      </c>
      <c r="K1374">
        <v>2024</v>
      </c>
    </row>
    <row r="1375" spans="1:11" x14ac:dyDescent="0.3">
      <c r="A1375">
        <v>11</v>
      </c>
      <c r="B1375" s="1" t="s">
        <v>21</v>
      </c>
      <c r="C1375" s="1" t="s">
        <v>17</v>
      </c>
      <c r="D1375">
        <v>702920</v>
      </c>
      <c r="E1375" s="3">
        <v>845752</v>
      </c>
      <c r="F1375">
        <v>94458</v>
      </c>
      <c r="G1375">
        <v>75</v>
      </c>
      <c r="H1375">
        <v>86357</v>
      </c>
      <c r="I1375">
        <v>56406</v>
      </c>
      <c r="J1375">
        <v>83500</v>
      </c>
      <c r="K1375">
        <v>2024</v>
      </c>
    </row>
    <row r="1376" spans="1:11" x14ac:dyDescent="0.3">
      <c r="A1376">
        <v>12</v>
      </c>
      <c r="B1376" s="1" t="s">
        <v>25</v>
      </c>
      <c r="C1376" s="1" t="s">
        <v>26</v>
      </c>
      <c r="D1376">
        <v>695540</v>
      </c>
      <c r="E1376" s="3">
        <v>729097</v>
      </c>
      <c r="F1376">
        <v>84936</v>
      </c>
      <c r="G1376">
        <v>75</v>
      </c>
      <c r="H1376">
        <v>92260</v>
      </c>
      <c r="I1376">
        <v>27072</v>
      </c>
      <c r="J1376">
        <v>21378</v>
      </c>
      <c r="K1376">
        <v>2024</v>
      </c>
    </row>
    <row r="1377" spans="1:11" x14ac:dyDescent="0.3">
      <c r="A1377">
        <v>13</v>
      </c>
      <c r="B1377" s="1" t="s">
        <v>56</v>
      </c>
      <c r="C1377" s="1" t="s">
        <v>24</v>
      </c>
      <c r="D1377">
        <v>695140</v>
      </c>
      <c r="E1377" s="3">
        <v>861974</v>
      </c>
      <c r="F1377">
        <v>84357</v>
      </c>
      <c r="G1377">
        <v>75</v>
      </c>
      <c r="H1377">
        <v>95743</v>
      </c>
      <c r="I1377">
        <v>49779</v>
      </c>
      <c r="J1377">
        <v>29849</v>
      </c>
      <c r="K1377">
        <v>2024</v>
      </c>
    </row>
    <row r="1378" spans="1:11" x14ac:dyDescent="0.3">
      <c r="A1378">
        <v>14</v>
      </c>
      <c r="B1378" s="1" t="s">
        <v>27</v>
      </c>
      <c r="C1378" s="1" t="s">
        <v>12</v>
      </c>
      <c r="D1378">
        <v>690470</v>
      </c>
      <c r="E1378" s="3">
        <v>880752</v>
      </c>
      <c r="F1378">
        <v>82671</v>
      </c>
      <c r="G1378">
        <v>76</v>
      </c>
      <c r="H1378">
        <v>81399</v>
      </c>
      <c r="I1378">
        <v>53362</v>
      </c>
      <c r="J1378">
        <v>52956</v>
      </c>
      <c r="K1378">
        <v>2024</v>
      </c>
    </row>
    <row r="1379" spans="1:11" x14ac:dyDescent="0.3">
      <c r="A1379">
        <v>15</v>
      </c>
      <c r="B1379" s="1" t="s">
        <v>16</v>
      </c>
      <c r="C1379" s="1" t="s">
        <v>17</v>
      </c>
      <c r="D1379">
        <v>689960</v>
      </c>
      <c r="E1379" s="3">
        <v>859474</v>
      </c>
      <c r="F1379">
        <v>90232</v>
      </c>
      <c r="G1379">
        <v>76</v>
      </c>
      <c r="H1379">
        <v>84565</v>
      </c>
      <c r="I1379">
        <v>57434</v>
      </c>
      <c r="J1379">
        <v>64026</v>
      </c>
      <c r="K1379">
        <v>2024</v>
      </c>
    </row>
    <row r="1380" spans="1:11" x14ac:dyDescent="0.3">
      <c r="A1380">
        <v>16</v>
      </c>
      <c r="B1380" s="1" t="s">
        <v>33</v>
      </c>
      <c r="C1380" s="1" t="s">
        <v>12</v>
      </c>
      <c r="D1380">
        <v>689420</v>
      </c>
      <c r="E1380" s="3">
        <v>872705</v>
      </c>
      <c r="F1380">
        <v>89106</v>
      </c>
      <c r="G1380">
        <v>76</v>
      </c>
      <c r="H1380">
        <v>84413</v>
      </c>
      <c r="I1380">
        <v>42531</v>
      </c>
      <c r="J1380">
        <v>54042</v>
      </c>
      <c r="K1380">
        <v>2024</v>
      </c>
    </row>
    <row r="1381" spans="1:11" x14ac:dyDescent="0.3">
      <c r="A1381">
        <v>17</v>
      </c>
      <c r="B1381" s="1" t="s">
        <v>32</v>
      </c>
      <c r="C1381" s="1" t="s">
        <v>12</v>
      </c>
      <c r="D1381">
        <v>683800</v>
      </c>
      <c r="E1381" s="3">
        <v>994539</v>
      </c>
      <c r="F1381">
        <v>85979</v>
      </c>
      <c r="G1381">
        <v>76</v>
      </c>
      <c r="H1381">
        <v>87756</v>
      </c>
      <c r="I1381">
        <v>51196</v>
      </c>
      <c r="J1381">
        <v>72707</v>
      </c>
      <c r="K1381">
        <v>2024</v>
      </c>
    </row>
    <row r="1382" spans="1:11" x14ac:dyDescent="0.3">
      <c r="A1382">
        <v>18</v>
      </c>
      <c r="B1382" s="1" t="s">
        <v>193</v>
      </c>
      <c r="C1382" s="1" t="s">
        <v>12</v>
      </c>
      <c r="D1382">
        <v>682180</v>
      </c>
      <c r="E1382" s="3">
        <v>833065</v>
      </c>
      <c r="F1382">
        <v>93473</v>
      </c>
      <c r="G1382">
        <v>74</v>
      </c>
      <c r="H1382">
        <v>91101</v>
      </c>
      <c r="I1382">
        <v>44123</v>
      </c>
      <c r="J1382">
        <v>11798</v>
      </c>
      <c r="K1382">
        <v>2024</v>
      </c>
    </row>
    <row r="1383" spans="1:11" x14ac:dyDescent="0.3">
      <c r="A1383">
        <v>19</v>
      </c>
      <c r="B1383" s="1" t="s">
        <v>74</v>
      </c>
      <c r="C1383" s="1" t="s">
        <v>12</v>
      </c>
      <c r="D1383">
        <v>681750</v>
      </c>
      <c r="E1383" s="3">
        <v>824885</v>
      </c>
      <c r="F1383">
        <v>89920</v>
      </c>
      <c r="G1383">
        <v>73</v>
      </c>
      <c r="H1383">
        <v>61701</v>
      </c>
      <c r="I1383">
        <v>10937</v>
      </c>
      <c r="J1383">
        <v>20143</v>
      </c>
      <c r="K1383">
        <v>2024</v>
      </c>
    </row>
    <row r="1384" spans="1:11" x14ac:dyDescent="0.3">
      <c r="A1384">
        <v>20</v>
      </c>
      <c r="B1384" s="1" t="s">
        <v>35</v>
      </c>
      <c r="C1384" s="1" t="s">
        <v>12</v>
      </c>
      <c r="D1384">
        <v>674900</v>
      </c>
      <c r="E1384" s="3">
        <v>851296</v>
      </c>
      <c r="F1384">
        <v>82035</v>
      </c>
      <c r="G1384">
        <v>75</v>
      </c>
      <c r="H1384">
        <v>82599</v>
      </c>
      <c r="I1384">
        <v>66512</v>
      </c>
      <c r="J1384">
        <v>61091</v>
      </c>
      <c r="K1384">
        <v>2024</v>
      </c>
    </row>
    <row r="1385" spans="1:11" x14ac:dyDescent="0.3">
      <c r="A1385">
        <v>21</v>
      </c>
      <c r="B1385" s="1" t="s">
        <v>73</v>
      </c>
      <c r="C1385" s="1" t="s">
        <v>47</v>
      </c>
      <c r="D1385">
        <v>674330</v>
      </c>
      <c r="E1385" s="3">
        <v>834190</v>
      </c>
      <c r="F1385">
        <v>92928</v>
      </c>
      <c r="G1385">
        <v>76</v>
      </c>
      <c r="H1385">
        <v>91448</v>
      </c>
      <c r="I1385">
        <v>39295</v>
      </c>
      <c r="J1385">
        <v>22707</v>
      </c>
      <c r="K1385">
        <v>2024</v>
      </c>
    </row>
    <row r="1386" spans="1:11" x14ac:dyDescent="0.3">
      <c r="A1386">
        <v>22</v>
      </c>
      <c r="B1386" s="1" t="s">
        <v>34</v>
      </c>
      <c r="C1386" s="1" t="s">
        <v>24</v>
      </c>
      <c r="D1386">
        <v>673310</v>
      </c>
      <c r="E1386" s="3">
        <v>926467</v>
      </c>
      <c r="F1386">
        <v>72003</v>
      </c>
      <c r="G1386">
        <v>72</v>
      </c>
      <c r="H1386">
        <v>94401</v>
      </c>
      <c r="I1386">
        <v>52127</v>
      </c>
      <c r="J1386">
        <v>44914</v>
      </c>
      <c r="K1386">
        <v>2024</v>
      </c>
    </row>
    <row r="1387" spans="1:11" x14ac:dyDescent="0.3">
      <c r="A1387">
        <v>23</v>
      </c>
      <c r="B1387" s="1" t="s">
        <v>29</v>
      </c>
      <c r="C1387" s="1" t="s">
        <v>17</v>
      </c>
      <c r="D1387">
        <v>672480</v>
      </c>
      <c r="E1387" s="3">
        <v>905791</v>
      </c>
      <c r="F1387">
        <v>86094</v>
      </c>
      <c r="G1387">
        <v>72</v>
      </c>
      <c r="H1387">
        <v>67918</v>
      </c>
      <c r="I1387">
        <v>55708</v>
      </c>
      <c r="J1387">
        <v>29412</v>
      </c>
      <c r="K1387">
        <v>2024</v>
      </c>
    </row>
    <row r="1388" spans="1:11" x14ac:dyDescent="0.3">
      <c r="A1388">
        <v>24</v>
      </c>
      <c r="B1388" s="1" t="s">
        <v>41</v>
      </c>
      <c r="C1388" s="1" t="s">
        <v>12</v>
      </c>
      <c r="D1388">
        <v>671850</v>
      </c>
      <c r="E1388" s="3">
        <v>874242</v>
      </c>
      <c r="F1388">
        <v>85967</v>
      </c>
      <c r="G1388">
        <v>76</v>
      </c>
      <c r="H1388">
        <v>81064</v>
      </c>
      <c r="I1388">
        <v>43453</v>
      </c>
      <c r="J1388">
        <v>63956</v>
      </c>
      <c r="K1388">
        <v>2024</v>
      </c>
    </row>
    <row r="1389" spans="1:11" x14ac:dyDescent="0.3">
      <c r="A1389">
        <v>25</v>
      </c>
      <c r="B1389" s="1" t="s">
        <v>28</v>
      </c>
      <c r="C1389" s="1" t="s">
        <v>26</v>
      </c>
      <c r="D1389">
        <v>667800</v>
      </c>
      <c r="E1389" s="3">
        <v>710455</v>
      </c>
      <c r="F1389">
        <v>76782</v>
      </c>
      <c r="G1389">
        <v>72</v>
      </c>
      <c r="H1389">
        <v>83642</v>
      </c>
      <c r="I1389">
        <v>21428</v>
      </c>
      <c r="J1389">
        <v>22021</v>
      </c>
      <c r="K1389">
        <v>2024</v>
      </c>
    </row>
    <row r="1390" spans="1:11" x14ac:dyDescent="0.3">
      <c r="A1390">
        <v>26</v>
      </c>
      <c r="B1390" s="1" t="s">
        <v>48</v>
      </c>
      <c r="C1390" s="1" t="s">
        <v>26</v>
      </c>
      <c r="D1390">
        <v>661150</v>
      </c>
      <c r="E1390" s="3">
        <v>745412</v>
      </c>
      <c r="F1390">
        <v>88550</v>
      </c>
      <c r="G1390">
        <v>73</v>
      </c>
      <c r="H1390">
        <v>89791</v>
      </c>
      <c r="I1390">
        <v>26459</v>
      </c>
      <c r="J1390">
        <v>38336</v>
      </c>
      <c r="K1390">
        <v>2024</v>
      </c>
    </row>
    <row r="1391" spans="1:11" x14ac:dyDescent="0.3">
      <c r="A1391">
        <v>27</v>
      </c>
      <c r="B1391" s="1" t="s">
        <v>44</v>
      </c>
      <c r="C1391" s="1" t="s">
        <v>12</v>
      </c>
      <c r="D1391">
        <v>660900</v>
      </c>
      <c r="E1391" s="3">
        <v>849487</v>
      </c>
      <c r="F1391">
        <v>83395</v>
      </c>
      <c r="G1391">
        <v>77</v>
      </c>
      <c r="H1391">
        <v>75269</v>
      </c>
      <c r="I1391">
        <v>28013</v>
      </c>
      <c r="J1391">
        <v>48839</v>
      </c>
      <c r="K1391">
        <v>2024</v>
      </c>
    </row>
    <row r="1392" spans="1:11" x14ac:dyDescent="0.3">
      <c r="A1392">
        <v>28</v>
      </c>
      <c r="B1392" s="1" t="s">
        <v>51</v>
      </c>
      <c r="C1392" s="1" t="s">
        <v>24</v>
      </c>
      <c r="D1392">
        <v>659350</v>
      </c>
      <c r="E1392" s="3">
        <v>860725</v>
      </c>
      <c r="F1392">
        <v>84171</v>
      </c>
      <c r="G1392">
        <v>71</v>
      </c>
      <c r="H1392">
        <v>91172</v>
      </c>
      <c r="I1392">
        <v>28415</v>
      </c>
      <c r="J1392">
        <v>32685</v>
      </c>
      <c r="K1392">
        <v>2024</v>
      </c>
    </row>
    <row r="1393" spans="1:11" x14ac:dyDescent="0.3">
      <c r="A1393">
        <v>29</v>
      </c>
      <c r="B1393" s="1" t="s">
        <v>87</v>
      </c>
      <c r="C1393" s="1" t="s">
        <v>47</v>
      </c>
      <c r="D1393">
        <v>656100</v>
      </c>
      <c r="E1393" s="3">
        <v>637339</v>
      </c>
      <c r="F1393">
        <v>78985</v>
      </c>
      <c r="G1393">
        <v>73</v>
      </c>
      <c r="H1393">
        <v>85638</v>
      </c>
      <c r="I1393">
        <v>63328</v>
      </c>
      <c r="J1393">
        <v>12630</v>
      </c>
      <c r="K1393">
        <v>2024</v>
      </c>
    </row>
    <row r="1394" spans="1:11" x14ac:dyDescent="0.3">
      <c r="A1394">
        <v>30</v>
      </c>
      <c r="B1394" s="1" t="s">
        <v>38</v>
      </c>
      <c r="C1394" s="1" t="s">
        <v>39</v>
      </c>
      <c r="D1394">
        <v>652280</v>
      </c>
      <c r="E1394" s="3">
        <v>989526</v>
      </c>
      <c r="F1394">
        <v>84207</v>
      </c>
      <c r="G1394">
        <v>78</v>
      </c>
      <c r="H1394">
        <v>86056</v>
      </c>
      <c r="I1394">
        <v>41990</v>
      </c>
      <c r="J1394">
        <v>100000</v>
      </c>
      <c r="K1394">
        <v>2024</v>
      </c>
    </row>
    <row r="1395" spans="1:11" x14ac:dyDescent="0.3">
      <c r="A1395">
        <v>31</v>
      </c>
      <c r="B1395" s="1" t="s">
        <v>184</v>
      </c>
      <c r="C1395" s="1" t="s">
        <v>55</v>
      </c>
      <c r="D1395">
        <v>650350</v>
      </c>
      <c r="E1395" s="3">
        <v>860343</v>
      </c>
      <c r="F1395">
        <v>83257</v>
      </c>
      <c r="G1395">
        <v>75</v>
      </c>
      <c r="H1395">
        <v>75178</v>
      </c>
      <c r="I1395">
        <v>17043</v>
      </c>
      <c r="J1395">
        <v>35184</v>
      </c>
      <c r="K1395">
        <v>2024</v>
      </c>
    </row>
    <row r="1396" spans="1:11" x14ac:dyDescent="0.3">
      <c r="A1396">
        <v>32</v>
      </c>
      <c r="B1396" s="1" t="s">
        <v>106</v>
      </c>
      <c r="C1396" s="1" t="s">
        <v>47</v>
      </c>
      <c r="D1396">
        <v>649120</v>
      </c>
      <c r="E1396" s="3">
        <v>793747</v>
      </c>
      <c r="F1396">
        <v>76443</v>
      </c>
      <c r="G1396">
        <v>73</v>
      </c>
      <c r="H1396">
        <v>83000</v>
      </c>
      <c r="I1396">
        <v>10157</v>
      </c>
      <c r="J1396">
        <v>1098</v>
      </c>
      <c r="K1396">
        <v>2024</v>
      </c>
    </row>
    <row r="1397" spans="1:11" x14ac:dyDescent="0.3">
      <c r="A1397">
        <v>33</v>
      </c>
      <c r="B1397" s="1" t="s">
        <v>59</v>
      </c>
      <c r="C1397" s="1" t="s">
        <v>26</v>
      </c>
      <c r="D1397">
        <v>646870</v>
      </c>
      <c r="E1397" s="3">
        <v>591016</v>
      </c>
      <c r="F1397">
        <v>66796</v>
      </c>
      <c r="G1397">
        <v>72</v>
      </c>
      <c r="H1397">
        <v>94521</v>
      </c>
      <c r="I1397">
        <v>20589</v>
      </c>
      <c r="J1397">
        <v>43942</v>
      </c>
      <c r="K1397">
        <v>2024</v>
      </c>
    </row>
    <row r="1398" spans="1:11" x14ac:dyDescent="0.3">
      <c r="A1398">
        <v>34</v>
      </c>
      <c r="B1398" s="1" t="s">
        <v>92</v>
      </c>
      <c r="C1398" s="1" t="s">
        <v>12</v>
      </c>
      <c r="D1398">
        <v>644770</v>
      </c>
      <c r="E1398" s="3">
        <v>818422</v>
      </c>
      <c r="F1398">
        <v>94468</v>
      </c>
      <c r="G1398">
        <v>75</v>
      </c>
      <c r="H1398">
        <v>93287</v>
      </c>
      <c r="I1398">
        <v>41531</v>
      </c>
      <c r="J1398">
        <v>69812</v>
      </c>
      <c r="K1398">
        <v>2024</v>
      </c>
    </row>
    <row r="1399" spans="1:11" x14ac:dyDescent="0.3">
      <c r="A1399">
        <v>35</v>
      </c>
      <c r="B1399" s="1" t="s">
        <v>78</v>
      </c>
      <c r="C1399" s="1" t="s">
        <v>47</v>
      </c>
      <c r="D1399">
        <v>644150</v>
      </c>
      <c r="E1399" s="3">
        <v>811814</v>
      </c>
      <c r="F1399">
        <v>87680</v>
      </c>
      <c r="G1399">
        <v>74</v>
      </c>
      <c r="H1399">
        <v>69503</v>
      </c>
      <c r="I1399">
        <v>20093</v>
      </c>
      <c r="J1399">
        <v>30482</v>
      </c>
      <c r="K1399">
        <v>2024</v>
      </c>
    </row>
    <row r="1400" spans="1:11" x14ac:dyDescent="0.3">
      <c r="A1400">
        <v>36</v>
      </c>
      <c r="B1400" s="1" t="s">
        <v>52</v>
      </c>
      <c r="C1400" s="1" t="s">
        <v>12</v>
      </c>
      <c r="D1400">
        <v>642090</v>
      </c>
      <c r="E1400" s="3">
        <v>825122</v>
      </c>
      <c r="F1400">
        <v>90975</v>
      </c>
      <c r="G1400">
        <v>77</v>
      </c>
      <c r="H1400">
        <v>71697</v>
      </c>
      <c r="I1400">
        <v>29647</v>
      </c>
      <c r="J1400">
        <v>30803</v>
      </c>
      <c r="K1400">
        <v>2024</v>
      </c>
    </row>
    <row r="1401" spans="1:11" x14ac:dyDescent="0.3">
      <c r="A1401">
        <v>37</v>
      </c>
      <c r="B1401" s="1" t="s">
        <v>107</v>
      </c>
      <c r="C1401" s="1" t="s">
        <v>47</v>
      </c>
      <c r="D1401">
        <v>641080</v>
      </c>
      <c r="E1401" s="3">
        <v>718435</v>
      </c>
      <c r="F1401">
        <v>86079</v>
      </c>
      <c r="G1401">
        <v>73</v>
      </c>
      <c r="H1401">
        <v>76822</v>
      </c>
      <c r="I1401">
        <v>49932</v>
      </c>
      <c r="J1401">
        <v>17498</v>
      </c>
      <c r="K1401">
        <v>2024</v>
      </c>
    </row>
    <row r="1402" spans="1:11" x14ac:dyDescent="0.3">
      <c r="A1402">
        <v>38</v>
      </c>
      <c r="B1402" s="1" t="s">
        <v>42</v>
      </c>
      <c r="C1402" s="1" t="s">
        <v>26</v>
      </c>
      <c r="D1402">
        <v>636030</v>
      </c>
      <c r="E1402" s="3">
        <v>755165</v>
      </c>
      <c r="F1402">
        <v>84687</v>
      </c>
      <c r="G1402">
        <v>76</v>
      </c>
      <c r="H1402">
        <v>75386</v>
      </c>
      <c r="I1402">
        <v>29188</v>
      </c>
      <c r="J1402">
        <v>13124</v>
      </c>
      <c r="K1402">
        <v>2024</v>
      </c>
    </row>
    <row r="1403" spans="1:11" x14ac:dyDescent="0.3">
      <c r="A1403">
        <v>39</v>
      </c>
      <c r="B1403" s="1" t="s">
        <v>40</v>
      </c>
      <c r="C1403" s="1" t="s">
        <v>26</v>
      </c>
      <c r="D1403">
        <v>635820</v>
      </c>
      <c r="E1403" s="3">
        <v>795002</v>
      </c>
      <c r="F1403">
        <v>86110</v>
      </c>
      <c r="G1403">
        <v>74</v>
      </c>
      <c r="H1403">
        <v>83389</v>
      </c>
      <c r="I1403">
        <v>15643</v>
      </c>
      <c r="J1403">
        <v>7394</v>
      </c>
      <c r="K1403">
        <v>2024</v>
      </c>
    </row>
    <row r="1404" spans="1:11" x14ac:dyDescent="0.3">
      <c r="A1404">
        <v>40</v>
      </c>
      <c r="B1404" s="1" t="s">
        <v>53</v>
      </c>
      <c r="C1404" s="1" t="s">
        <v>12</v>
      </c>
      <c r="D1404">
        <v>634580</v>
      </c>
      <c r="E1404" s="3">
        <v>853500</v>
      </c>
      <c r="F1404">
        <v>89302</v>
      </c>
      <c r="G1404">
        <v>77</v>
      </c>
      <c r="H1404">
        <v>84210</v>
      </c>
      <c r="I1404">
        <v>62382</v>
      </c>
      <c r="J1404">
        <v>21683</v>
      </c>
      <c r="K1404">
        <v>2024</v>
      </c>
    </row>
    <row r="1405" spans="1:11" x14ac:dyDescent="0.3">
      <c r="A1405">
        <v>41</v>
      </c>
      <c r="B1405" s="1" t="s">
        <v>68</v>
      </c>
      <c r="C1405" s="1" t="s">
        <v>12</v>
      </c>
      <c r="D1405">
        <v>632350</v>
      </c>
      <c r="E1405" s="3">
        <v>840988</v>
      </c>
      <c r="F1405">
        <v>82166</v>
      </c>
      <c r="G1405">
        <v>77</v>
      </c>
      <c r="H1405">
        <v>59420</v>
      </c>
      <c r="I1405">
        <v>27972</v>
      </c>
      <c r="J1405">
        <v>12791</v>
      </c>
      <c r="K1405">
        <v>2024</v>
      </c>
    </row>
    <row r="1406" spans="1:11" x14ac:dyDescent="0.3">
      <c r="A1406">
        <v>42</v>
      </c>
      <c r="B1406" s="1" t="s">
        <v>60</v>
      </c>
      <c r="C1406" s="1" t="s">
        <v>26</v>
      </c>
      <c r="D1406">
        <v>628700</v>
      </c>
      <c r="E1406" s="3">
        <v>588421</v>
      </c>
      <c r="F1406">
        <v>72309</v>
      </c>
      <c r="G1406">
        <v>69</v>
      </c>
      <c r="H1406">
        <v>85171</v>
      </c>
      <c r="I1406">
        <v>26280</v>
      </c>
      <c r="J1406">
        <v>13523</v>
      </c>
      <c r="K1406">
        <v>2024</v>
      </c>
    </row>
    <row r="1407" spans="1:11" x14ac:dyDescent="0.3">
      <c r="A1407">
        <v>43</v>
      </c>
      <c r="B1407" s="1" t="s">
        <v>75</v>
      </c>
      <c r="C1407" s="1" t="s">
        <v>26</v>
      </c>
      <c r="D1407">
        <v>628390</v>
      </c>
      <c r="E1407" s="3">
        <v>512620</v>
      </c>
      <c r="F1407">
        <v>78144</v>
      </c>
      <c r="G1407">
        <v>72</v>
      </c>
      <c r="H1407">
        <v>91901</v>
      </c>
      <c r="I1407">
        <v>33206</v>
      </c>
      <c r="J1407">
        <v>43645</v>
      </c>
      <c r="K1407">
        <v>2024</v>
      </c>
    </row>
    <row r="1408" spans="1:11" x14ac:dyDescent="0.3">
      <c r="A1408">
        <v>44</v>
      </c>
      <c r="B1408" s="1" t="s">
        <v>30</v>
      </c>
      <c r="C1408" s="1" t="s">
        <v>26</v>
      </c>
      <c r="D1408">
        <v>627200</v>
      </c>
      <c r="E1408" s="3">
        <v>667841</v>
      </c>
      <c r="F1408">
        <v>78488</v>
      </c>
      <c r="G1408">
        <v>72</v>
      </c>
      <c r="H1408">
        <v>79370</v>
      </c>
      <c r="I1408">
        <v>32444</v>
      </c>
      <c r="J1408">
        <v>24769</v>
      </c>
      <c r="K1408">
        <v>2024</v>
      </c>
    </row>
    <row r="1409" spans="1:11" x14ac:dyDescent="0.3">
      <c r="A1409">
        <v>45</v>
      </c>
      <c r="B1409" s="1" t="s">
        <v>63</v>
      </c>
      <c r="C1409" s="1" t="s">
        <v>47</v>
      </c>
      <c r="D1409">
        <v>625710</v>
      </c>
      <c r="E1409" s="3">
        <v>796789</v>
      </c>
      <c r="F1409">
        <v>95284</v>
      </c>
      <c r="G1409">
        <v>74</v>
      </c>
      <c r="H1409">
        <v>65609</v>
      </c>
      <c r="I1409">
        <v>23964</v>
      </c>
      <c r="J1409">
        <v>10071</v>
      </c>
      <c r="K1409">
        <v>2024</v>
      </c>
    </row>
    <row r="1410" spans="1:11" x14ac:dyDescent="0.3">
      <c r="A1410">
        <v>46</v>
      </c>
      <c r="B1410" s="1" t="s">
        <v>109</v>
      </c>
      <c r="C1410" s="1" t="s">
        <v>12</v>
      </c>
      <c r="D1410">
        <v>623450</v>
      </c>
      <c r="E1410" s="3">
        <v>794337</v>
      </c>
      <c r="F1410">
        <v>93316</v>
      </c>
      <c r="G1410">
        <v>72</v>
      </c>
      <c r="H1410">
        <v>77177</v>
      </c>
      <c r="I1410">
        <v>31732</v>
      </c>
      <c r="J1410">
        <v>13639</v>
      </c>
      <c r="K1410">
        <v>2024</v>
      </c>
    </row>
    <row r="1411" spans="1:11" x14ac:dyDescent="0.3">
      <c r="A1411">
        <v>47</v>
      </c>
      <c r="B1411" s="1" t="s">
        <v>61</v>
      </c>
      <c r="C1411" s="1" t="s">
        <v>62</v>
      </c>
      <c r="D1411">
        <v>619500</v>
      </c>
      <c r="E1411" s="3">
        <v>566075</v>
      </c>
      <c r="F1411">
        <v>86264</v>
      </c>
      <c r="G1411">
        <v>71</v>
      </c>
      <c r="H1411">
        <v>96713</v>
      </c>
      <c r="I1411">
        <v>62743</v>
      </c>
      <c r="J1411">
        <v>37326</v>
      </c>
      <c r="K1411">
        <v>2024</v>
      </c>
    </row>
    <row r="1412" spans="1:11" x14ac:dyDescent="0.3">
      <c r="A1412">
        <v>48</v>
      </c>
      <c r="B1412" s="1" t="s">
        <v>45</v>
      </c>
      <c r="C1412" s="1" t="s">
        <v>26</v>
      </c>
      <c r="D1412">
        <v>618810</v>
      </c>
      <c r="E1412" s="3">
        <v>729612</v>
      </c>
      <c r="F1412">
        <v>85449</v>
      </c>
      <c r="G1412">
        <v>73</v>
      </c>
      <c r="H1412">
        <v>78851</v>
      </c>
      <c r="I1412">
        <v>21822</v>
      </c>
      <c r="J1412">
        <v>13990</v>
      </c>
      <c r="K1412">
        <v>2024</v>
      </c>
    </row>
    <row r="1413" spans="1:11" x14ac:dyDescent="0.3">
      <c r="A1413">
        <v>49</v>
      </c>
      <c r="B1413" s="1" t="s">
        <v>72</v>
      </c>
      <c r="C1413" s="1" t="s">
        <v>62</v>
      </c>
      <c r="D1413">
        <v>618750</v>
      </c>
      <c r="E1413" s="3">
        <v>757991</v>
      </c>
      <c r="F1413">
        <v>90110</v>
      </c>
      <c r="G1413">
        <v>72</v>
      </c>
      <c r="H1413">
        <v>84855</v>
      </c>
      <c r="I1413">
        <v>37190</v>
      </c>
      <c r="J1413">
        <v>20823</v>
      </c>
      <c r="K1413">
        <v>2024</v>
      </c>
    </row>
    <row r="1414" spans="1:11" x14ac:dyDescent="0.3">
      <c r="A1414">
        <v>50</v>
      </c>
      <c r="B1414" s="1" t="s">
        <v>85</v>
      </c>
      <c r="C1414" s="1" t="s">
        <v>12</v>
      </c>
      <c r="D1414">
        <v>606810</v>
      </c>
      <c r="E1414" s="3">
        <v>838021</v>
      </c>
      <c r="F1414">
        <v>75284</v>
      </c>
      <c r="G1414">
        <v>78</v>
      </c>
      <c r="H1414">
        <v>61250</v>
      </c>
      <c r="I1414">
        <v>31061</v>
      </c>
      <c r="J1414">
        <v>8551</v>
      </c>
      <c r="K1414">
        <v>2024</v>
      </c>
    </row>
    <row r="1415" spans="1:11" x14ac:dyDescent="0.3">
      <c r="A1415">
        <v>51</v>
      </c>
      <c r="B1415" s="1" t="s">
        <v>64</v>
      </c>
      <c r="C1415" s="1" t="s">
        <v>55</v>
      </c>
      <c r="D1415">
        <v>605980</v>
      </c>
      <c r="E1415" s="3">
        <v>834247</v>
      </c>
      <c r="F1415">
        <v>83783</v>
      </c>
      <c r="G1415">
        <v>79</v>
      </c>
      <c r="H1415">
        <v>73149</v>
      </c>
      <c r="I1415">
        <v>5678</v>
      </c>
      <c r="J1415">
        <v>38154</v>
      </c>
      <c r="K1415">
        <v>2024</v>
      </c>
    </row>
    <row r="1416" spans="1:11" x14ac:dyDescent="0.3">
      <c r="A1416">
        <v>52</v>
      </c>
      <c r="B1416" s="1" t="s">
        <v>65</v>
      </c>
      <c r="C1416" s="1" t="s">
        <v>55</v>
      </c>
      <c r="D1416">
        <v>605790</v>
      </c>
      <c r="E1416" s="3">
        <v>847919</v>
      </c>
      <c r="F1416">
        <v>72875</v>
      </c>
      <c r="G1416">
        <v>78</v>
      </c>
      <c r="H1416">
        <v>64248</v>
      </c>
      <c r="I1416">
        <v>31515</v>
      </c>
      <c r="J1416">
        <v>27461</v>
      </c>
      <c r="K1416">
        <v>2024</v>
      </c>
    </row>
    <row r="1417" spans="1:11" x14ac:dyDescent="0.3">
      <c r="A1417">
        <v>53</v>
      </c>
      <c r="B1417" s="1" t="s">
        <v>110</v>
      </c>
      <c r="C1417" s="1" t="s">
        <v>39</v>
      </c>
      <c r="D1417">
        <v>604760</v>
      </c>
      <c r="E1417" s="3">
        <v>575533</v>
      </c>
      <c r="F1417">
        <v>70890</v>
      </c>
      <c r="G1417">
        <v>68</v>
      </c>
      <c r="H1417">
        <v>95708</v>
      </c>
      <c r="I1417">
        <v>24622</v>
      </c>
      <c r="J1417">
        <v>23652</v>
      </c>
      <c r="K1417">
        <v>2024</v>
      </c>
    </row>
    <row r="1418" spans="1:11" x14ac:dyDescent="0.3">
      <c r="A1418">
        <v>54</v>
      </c>
      <c r="B1418" s="1" t="s">
        <v>94</v>
      </c>
      <c r="C1418" s="1" t="s">
        <v>39</v>
      </c>
      <c r="D1418">
        <v>604300</v>
      </c>
      <c r="E1418" s="3">
        <v>621579</v>
      </c>
      <c r="F1418">
        <v>78378</v>
      </c>
      <c r="G1418">
        <v>71</v>
      </c>
      <c r="H1418">
        <v>97594</v>
      </c>
      <c r="I1418">
        <v>23369</v>
      </c>
      <c r="J1418">
        <v>27818</v>
      </c>
      <c r="K1418">
        <v>2024</v>
      </c>
    </row>
    <row r="1419" spans="1:11" x14ac:dyDescent="0.3">
      <c r="A1419">
        <v>55</v>
      </c>
      <c r="B1419" s="1" t="s">
        <v>108</v>
      </c>
      <c r="C1419" s="1" t="s">
        <v>12</v>
      </c>
      <c r="D1419">
        <v>602960</v>
      </c>
      <c r="E1419" s="3">
        <v>807075</v>
      </c>
      <c r="F1419">
        <v>84609</v>
      </c>
      <c r="G1419">
        <v>76</v>
      </c>
      <c r="H1419">
        <v>87646</v>
      </c>
      <c r="I1419">
        <v>11640</v>
      </c>
      <c r="J1419">
        <v>6145</v>
      </c>
      <c r="K1419">
        <v>2024</v>
      </c>
    </row>
    <row r="1420" spans="1:11" x14ac:dyDescent="0.3">
      <c r="A1420">
        <v>56</v>
      </c>
      <c r="B1420" s="1" t="s">
        <v>124</v>
      </c>
      <c r="C1420" s="1" t="s">
        <v>47</v>
      </c>
      <c r="D1420">
        <v>601690</v>
      </c>
      <c r="E1420" s="3">
        <v>804511</v>
      </c>
      <c r="F1420">
        <v>94537</v>
      </c>
      <c r="G1420">
        <v>73</v>
      </c>
      <c r="H1420">
        <v>67289</v>
      </c>
      <c r="I1420">
        <v>30601</v>
      </c>
      <c r="J1420">
        <v>11669</v>
      </c>
      <c r="K1420">
        <v>2024</v>
      </c>
    </row>
    <row r="1421" spans="1:11" x14ac:dyDescent="0.3">
      <c r="A1421">
        <v>57</v>
      </c>
      <c r="B1421" s="1" t="s">
        <v>71</v>
      </c>
      <c r="C1421" s="1" t="s">
        <v>26</v>
      </c>
      <c r="D1421">
        <v>597650</v>
      </c>
      <c r="E1421" s="3">
        <v>653179</v>
      </c>
      <c r="F1421">
        <v>87101</v>
      </c>
      <c r="G1421">
        <v>72</v>
      </c>
      <c r="H1421">
        <v>91225</v>
      </c>
      <c r="I1421">
        <v>32787</v>
      </c>
      <c r="J1421">
        <v>11354</v>
      </c>
      <c r="K1421">
        <v>2024</v>
      </c>
    </row>
    <row r="1422" spans="1:11" x14ac:dyDescent="0.3">
      <c r="A1422">
        <v>58</v>
      </c>
      <c r="B1422" s="1" t="s">
        <v>50</v>
      </c>
      <c r="C1422" s="1" t="s">
        <v>39</v>
      </c>
      <c r="D1422">
        <v>597610</v>
      </c>
      <c r="E1422" s="3">
        <v>693387</v>
      </c>
      <c r="F1422">
        <v>83309</v>
      </c>
      <c r="G1422">
        <v>74</v>
      </c>
      <c r="H1422">
        <v>87531</v>
      </c>
      <c r="I1422">
        <v>70510</v>
      </c>
      <c r="J1422">
        <v>4204</v>
      </c>
      <c r="K1422">
        <v>2024</v>
      </c>
    </row>
    <row r="1423" spans="1:11" x14ac:dyDescent="0.3">
      <c r="A1423">
        <v>59</v>
      </c>
      <c r="B1423" s="1" t="s">
        <v>79</v>
      </c>
      <c r="C1423" s="1" t="s">
        <v>39</v>
      </c>
      <c r="D1423">
        <v>597520</v>
      </c>
      <c r="E1423" s="3">
        <v>768912</v>
      </c>
      <c r="F1423">
        <v>70737</v>
      </c>
      <c r="G1423">
        <v>71</v>
      </c>
      <c r="H1423">
        <v>95971</v>
      </c>
      <c r="I1423">
        <v>56377</v>
      </c>
      <c r="J1423">
        <v>20700</v>
      </c>
      <c r="K1423">
        <v>2024</v>
      </c>
    </row>
    <row r="1424" spans="1:11" x14ac:dyDescent="0.3">
      <c r="A1424">
        <v>60</v>
      </c>
      <c r="B1424" s="1" t="s">
        <v>104</v>
      </c>
      <c r="C1424" s="1" t="s">
        <v>55</v>
      </c>
      <c r="D1424">
        <v>597270</v>
      </c>
      <c r="E1424" s="3">
        <v>699292</v>
      </c>
      <c r="F1424">
        <v>76627</v>
      </c>
      <c r="G1424">
        <v>74</v>
      </c>
      <c r="H1424">
        <v>81592</v>
      </c>
      <c r="I1424">
        <v>32887</v>
      </c>
      <c r="J1424">
        <v>28430</v>
      </c>
      <c r="K1424">
        <v>2024</v>
      </c>
    </row>
    <row r="1425" spans="1:11" x14ac:dyDescent="0.3">
      <c r="A1425">
        <v>61</v>
      </c>
      <c r="B1425" s="1" t="s">
        <v>125</v>
      </c>
      <c r="C1425" s="1" t="s">
        <v>26</v>
      </c>
      <c r="D1425">
        <v>596840</v>
      </c>
      <c r="E1425" s="3">
        <v>509547</v>
      </c>
      <c r="F1425">
        <v>64055</v>
      </c>
      <c r="G1425">
        <v>70</v>
      </c>
      <c r="H1425">
        <v>83384</v>
      </c>
      <c r="I1425">
        <v>43745</v>
      </c>
      <c r="J1425">
        <v>14046</v>
      </c>
      <c r="K1425">
        <v>2024</v>
      </c>
    </row>
    <row r="1426" spans="1:11" x14ac:dyDescent="0.3">
      <c r="A1426">
        <v>62</v>
      </c>
      <c r="B1426" s="1" t="s">
        <v>80</v>
      </c>
      <c r="C1426" s="1" t="s">
        <v>47</v>
      </c>
      <c r="D1426">
        <v>594230</v>
      </c>
      <c r="E1426" s="3">
        <v>798916</v>
      </c>
      <c r="F1426">
        <v>89374</v>
      </c>
      <c r="G1426">
        <v>74</v>
      </c>
      <c r="H1426">
        <v>54346</v>
      </c>
      <c r="I1426">
        <v>16046</v>
      </c>
      <c r="J1426">
        <v>7452</v>
      </c>
      <c r="K1426">
        <v>2024</v>
      </c>
    </row>
    <row r="1427" spans="1:11" x14ac:dyDescent="0.3">
      <c r="A1427">
        <v>63</v>
      </c>
      <c r="B1427" s="1" t="s">
        <v>122</v>
      </c>
      <c r="C1427" s="1" t="s">
        <v>24</v>
      </c>
      <c r="D1427">
        <v>593360</v>
      </c>
      <c r="E1427" s="3">
        <v>786686</v>
      </c>
      <c r="F1427">
        <v>78940</v>
      </c>
      <c r="G1427">
        <v>76</v>
      </c>
      <c r="H1427">
        <v>39053</v>
      </c>
      <c r="I1427">
        <v>4532</v>
      </c>
      <c r="J1427">
        <v>16097</v>
      </c>
      <c r="K1427">
        <v>2024</v>
      </c>
    </row>
    <row r="1428" spans="1:11" x14ac:dyDescent="0.3">
      <c r="A1428">
        <v>64</v>
      </c>
      <c r="B1428" s="1" t="s">
        <v>116</v>
      </c>
      <c r="C1428" s="1" t="s">
        <v>47</v>
      </c>
      <c r="D1428">
        <v>587700</v>
      </c>
      <c r="E1428" s="3">
        <v>684293</v>
      </c>
      <c r="F1428">
        <v>81541</v>
      </c>
      <c r="G1428">
        <v>73</v>
      </c>
      <c r="H1428">
        <v>71889</v>
      </c>
      <c r="I1428">
        <v>61470</v>
      </c>
      <c r="J1428">
        <v>0</v>
      </c>
      <c r="K1428">
        <v>2024</v>
      </c>
    </row>
    <row r="1429" spans="1:11" x14ac:dyDescent="0.3">
      <c r="A1429">
        <v>65</v>
      </c>
      <c r="B1429" s="1" t="s">
        <v>81</v>
      </c>
      <c r="C1429" s="1" t="s">
        <v>24</v>
      </c>
      <c r="D1429">
        <v>586630</v>
      </c>
      <c r="E1429" s="3">
        <v>712751</v>
      </c>
      <c r="F1429">
        <v>68047</v>
      </c>
      <c r="G1429">
        <v>72</v>
      </c>
      <c r="H1429">
        <v>68538</v>
      </c>
      <c r="I1429">
        <v>27718</v>
      </c>
      <c r="J1429">
        <v>35397</v>
      </c>
      <c r="K1429">
        <v>2024</v>
      </c>
    </row>
    <row r="1430" spans="1:11" x14ac:dyDescent="0.3">
      <c r="A1430">
        <v>66</v>
      </c>
      <c r="B1430" s="1" t="s">
        <v>83</v>
      </c>
      <c r="C1430" s="1" t="s">
        <v>26</v>
      </c>
      <c r="D1430">
        <v>584170</v>
      </c>
      <c r="E1430" s="3">
        <v>598077</v>
      </c>
      <c r="F1430">
        <v>81892</v>
      </c>
      <c r="G1430">
        <v>72</v>
      </c>
      <c r="H1430">
        <v>74933</v>
      </c>
      <c r="I1430">
        <v>22265</v>
      </c>
      <c r="J1430">
        <v>4880</v>
      </c>
      <c r="K1430">
        <v>2024</v>
      </c>
    </row>
    <row r="1431" spans="1:11" x14ac:dyDescent="0.3">
      <c r="A1431">
        <v>67</v>
      </c>
      <c r="B1431" s="1" t="s">
        <v>76</v>
      </c>
      <c r="C1431" s="1" t="s">
        <v>26</v>
      </c>
      <c r="D1431">
        <v>584090</v>
      </c>
      <c r="E1431" s="3">
        <v>640313</v>
      </c>
      <c r="F1431">
        <v>72994</v>
      </c>
      <c r="G1431">
        <v>75</v>
      </c>
      <c r="H1431">
        <v>71218</v>
      </c>
      <c r="I1431">
        <v>19505</v>
      </c>
      <c r="J1431">
        <v>4996</v>
      </c>
      <c r="K1431">
        <v>2024</v>
      </c>
    </row>
    <row r="1432" spans="1:11" x14ac:dyDescent="0.3">
      <c r="A1432">
        <v>68</v>
      </c>
      <c r="B1432" s="1" t="s">
        <v>118</v>
      </c>
      <c r="C1432" s="1" t="s">
        <v>26</v>
      </c>
      <c r="D1432">
        <v>582280</v>
      </c>
      <c r="E1432" s="3">
        <v>708565</v>
      </c>
      <c r="F1432">
        <v>78657</v>
      </c>
      <c r="G1432">
        <v>71</v>
      </c>
      <c r="H1432">
        <v>84544</v>
      </c>
      <c r="I1432">
        <v>21543</v>
      </c>
      <c r="J1432">
        <v>34005</v>
      </c>
      <c r="K1432">
        <v>2024</v>
      </c>
    </row>
    <row r="1433" spans="1:11" x14ac:dyDescent="0.3">
      <c r="A1433">
        <v>69</v>
      </c>
      <c r="B1433" s="1" t="s">
        <v>89</v>
      </c>
      <c r="C1433" s="1" t="s">
        <v>90</v>
      </c>
      <c r="D1433">
        <v>581640</v>
      </c>
      <c r="E1433" s="3">
        <v>733663</v>
      </c>
      <c r="F1433">
        <v>83994</v>
      </c>
      <c r="G1433">
        <v>70</v>
      </c>
      <c r="H1433">
        <v>74224</v>
      </c>
      <c r="I1433">
        <v>30632</v>
      </c>
      <c r="J1433">
        <v>20477</v>
      </c>
      <c r="K1433">
        <v>2024</v>
      </c>
    </row>
    <row r="1434" spans="1:11" x14ac:dyDescent="0.3">
      <c r="A1434">
        <v>70</v>
      </c>
      <c r="B1434" s="1" t="s">
        <v>70</v>
      </c>
      <c r="C1434" s="1" t="s">
        <v>47</v>
      </c>
      <c r="D1434">
        <v>581590</v>
      </c>
      <c r="E1434" s="3">
        <v>647210</v>
      </c>
      <c r="F1434">
        <v>79008</v>
      </c>
      <c r="G1434">
        <v>72</v>
      </c>
      <c r="H1434">
        <v>80485</v>
      </c>
      <c r="I1434">
        <v>19303</v>
      </c>
      <c r="J1434">
        <v>7735</v>
      </c>
      <c r="K1434">
        <v>2024</v>
      </c>
    </row>
    <row r="1435" spans="1:11" x14ac:dyDescent="0.3">
      <c r="A1435">
        <v>71</v>
      </c>
      <c r="B1435" s="1" t="s">
        <v>82</v>
      </c>
      <c r="C1435" s="1" t="s">
        <v>62</v>
      </c>
      <c r="D1435">
        <v>578530</v>
      </c>
      <c r="E1435" s="3">
        <v>767194</v>
      </c>
      <c r="F1435">
        <v>83586</v>
      </c>
      <c r="G1435">
        <v>71</v>
      </c>
      <c r="H1435">
        <v>63875</v>
      </c>
      <c r="I1435">
        <v>34384</v>
      </c>
      <c r="J1435">
        <v>20957</v>
      </c>
      <c r="K1435">
        <v>2024</v>
      </c>
    </row>
    <row r="1436" spans="1:11" x14ac:dyDescent="0.3">
      <c r="A1436">
        <v>72</v>
      </c>
      <c r="B1436" s="1" t="s">
        <v>69</v>
      </c>
      <c r="C1436" s="1" t="s">
        <v>26</v>
      </c>
      <c r="D1436">
        <v>578430</v>
      </c>
      <c r="E1436" s="3">
        <v>568578</v>
      </c>
      <c r="F1436">
        <v>72960</v>
      </c>
      <c r="G1436">
        <v>70</v>
      </c>
      <c r="H1436">
        <v>83335</v>
      </c>
      <c r="I1436">
        <v>24842</v>
      </c>
      <c r="J1436">
        <v>10575</v>
      </c>
      <c r="K1436">
        <v>2024</v>
      </c>
    </row>
    <row r="1437" spans="1:11" x14ac:dyDescent="0.3">
      <c r="A1437">
        <v>73</v>
      </c>
      <c r="B1437" s="1" t="s">
        <v>66</v>
      </c>
      <c r="C1437" s="1" t="s">
        <v>26</v>
      </c>
      <c r="D1437">
        <v>572450</v>
      </c>
      <c r="E1437" s="3">
        <v>614556</v>
      </c>
      <c r="F1437">
        <v>71180</v>
      </c>
      <c r="G1437">
        <v>74</v>
      </c>
      <c r="H1437">
        <v>70203</v>
      </c>
      <c r="I1437">
        <v>21807</v>
      </c>
      <c r="J1437">
        <v>13620</v>
      </c>
      <c r="K1437">
        <v>2024</v>
      </c>
    </row>
    <row r="1438" spans="1:11" x14ac:dyDescent="0.3">
      <c r="A1438">
        <v>74</v>
      </c>
      <c r="B1438" s="1" t="s">
        <v>96</v>
      </c>
      <c r="C1438" s="1" t="s">
        <v>62</v>
      </c>
      <c r="D1438">
        <v>571350</v>
      </c>
      <c r="E1438" s="3">
        <v>492532</v>
      </c>
      <c r="F1438">
        <v>91364</v>
      </c>
      <c r="G1438">
        <v>73</v>
      </c>
      <c r="H1438">
        <v>96634</v>
      </c>
      <c r="I1438">
        <v>56189</v>
      </c>
      <c r="J1438">
        <v>5191</v>
      </c>
      <c r="K1438">
        <v>2024</v>
      </c>
    </row>
    <row r="1439" spans="1:11" x14ac:dyDescent="0.3">
      <c r="A1439">
        <v>75</v>
      </c>
      <c r="B1439" s="1" t="s">
        <v>102</v>
      </c>
      <c r="C1439" s="1" t="s">
        <v>47</v>
      </c>
      <c r="D1439">
        <v>570700</v>
      </c>
      <c r="E1439" s="3">
        <v>733711</v>
      </c>
      <c r="F1439">
        <v>81532</v>
      </c>
      <c r="G1439">
        <v>73</v>
      </c>
      <c r="H1439">
        <v>73173</v>
      </c>
      <c r="I1439">
        <v>27553</v>
      </c>
      <c r="J1439">
        <v>22978</v>
      </c>
      <c r="K1439">
        <v>2024</v>
      </c>
    </row>
    <row r="1440" spans="1:11" x14ac:dyDescent="0.3">
      <c r="A1440">
        <v>76</v>
      </c>
      <c r="B1440" s="1" t="s">
        <v>120</v>
      </c>
      <c r="C1440" s="1" t="s">
        <v>55</v>
      </c>
      <c r="D1440">
        <v>569620</v>
      </c>
      <c r="E1440" s="3">
        <v>631951</v>
      </c>
      <c r="F1440">
        <v>93450</v>
      </c>
      <c r="G1440">
        <v>67</v>
      </c>
      <c r="H1440">
        <v>58008</v>
      </c>
      <c r="I1440">
        <v>59072</v>
      </c>
      <c r="J1440">
        <v>9610</v>
      </c>
      <c r="K1440">
        <v>2024</v>
      </c>
    </row>
    <row r="1441" spans="1:11" x14ac:dyDescent="0.3">
      <c r="A1441">
        <v>77</v>
      </c>
      <c r="B1441" s="1" t="s">
        <v>49</v>
      </c>
      <c r="C1441" s="1" t="s">
        <v>26</v>
      </c>
      <c r="D1441">
        <v>569510</v>
      </c>
      <c r="E1441" s="3">
        <v>671288</v>
      </c>
      <c r="F1441">
        <v>76751</v>
      </c>
      <c r="G1441">
        <v>75</v>
      </c>
      <c r="H1441">
        <v>74585</v>
      </c>
      <c r="I1441">
        <v>17864</v>
      </c>
      <c r="J1441">
        <v>10191</v>
      </c>
      <c r="K1441">
        <v>2024</v>
      </c>
    </row>
    <row r="1442" spans="1:11" x14ac:dyDescent="0.3">
      <c r="A1442">
        <v>78</v>
      </c>
      <c r="B1442" s="1" t="s">
        <v>37</v>
      </c>
      <c r="C1442" s="1" t="s">
        <v>26</v>
      </c>
      <c r="D1442">
        <v>560670</v>
      </c>
      <c r="E1442" s="3">
        <v>0</v>
      </c>
      <c r="F1442">
        <v>81740</v>
      </c>
      <c r="G1442">
        <v>70</v>
      </c>
      <c r="H1442">
        <v>59990</v>
      </c>
      <c r="I1442">
        <v>47969</v>
      </c>
      <c r="J1442">
        <v>14982</v>
      </c>
      <c r="K1442">
        <v>2024</v>
      </c>
    </row>
    <row r="1443" spans="1:11" x14ac:dyDescent="0.3">
      <c r="A1443">
        <v>79</v>
      </c>
      <c r="B1443" s="1" t="s">
        <v>93</v>
      </c>
      <c r="C1443" s="1" t="s">
        <v>39</v>
      </c>
      <c r="D1443">
        <v>556830</v>
      </c>
      <c r="E1443" s="3">
        <v>636058</v>
      </c>
      <c r="F1443">
        <v>73260</v>
      </c>
      <c r="G1443">
        <v>69</v>
      </c>
      <c r="H1443">
        <v>90283</v>
      </c>
      <c r="I1443">
        <v>99602</v>
      </c>
      <c r="J1443">
        <v>9513</v>
      </c>
      <c r="K1443">
        <v>2024</v>
      </c>
    </row>
    <row r="1444" spans="1:11" x14ac:dyDescent="0.3">
      <c r="A1444">
        <v>80</v>
      </c>
      <c r="B1444" s="1" t="s">
        <v>154</v>
      </c>
      <c r="C1444" s="1" t="s">
        <v>47</v>
      </c>
      <c r="D1444">
        <v>546270</v>
      </c>
      <c r="E1444" s="3">
        <v>761209</v>
      </c>
      <c r="F1444">
        <v>90860</v>
      </c>
      <c r="G1444">
        <v>72</v>
      </c>
      <c r="H1444">
        <v>71861</v>
      </c>
      <c r="I1444">
        <v>20780</v>
      </c>
      <c r="J1444">
        <v>1069</v>
      </c>
      <c r="K1444">
        <v>2024</v>
      </c>
    </row>
    <row r="1445" spans="1:11" x14ac:dyDescent="0.3">
      <c r="A1445">
        <v>81</v>
      </c>
      <c r="B1445" s="1" t="s">
        <v>147</v>
      </c>
      <c r="C1445" s="1" t="s">
        <v>62</v>
      </c>
      <c r="D1445">
        <v>545490</v>
      </c>
      <c r="E1445" s="3">
        <v>674410</v>
      </c>
      <c r="F1445">
        <v>71415</v>
      </c>
      <c r="G1445">
        <v>73</v>
      </c>
      <c r="H1445">
        <v>75317</v>
      </c>
      <c r="I1445">
        <v>12831</v>
      </c>
      <c r="J1445">
        <v>30090</v>
      </c>
      <c r="K1445">
        <v>2024</v>
      </c>
    </row>
    <row r="1446" spans="1:11" x14ac:dyDescent="0.3">
      <c r="A1446">
        <v>82</v>
      </c>
      <c r="B1446" s="1" t="s">
        <v>133</v>
      </c>
      <c r="C1446" s="1" t="s">
        <v>90</v>
      </c>
      <c r="D1446">
        <v>542200</v>
      </c>
      <c r="E1446" s="3">
        <v>648958</v>
      </c>
      <c r="F1446">
        <v>84704</v>
      </c>
      <c r="G1446">
        <v>65</v>
      </c>
      <c r="H1446">
        <v>62153</v>
      </c>
      <c r="I1446">
        <v>19570</v>
      </c>
      <c r="J1446">
        <v>5909</v>
      </c>
      <c r="K1446">
        <v>2024</v>
      </c>
    </row>
    <row r="1447" spans="1:11" x14ac:dyDescent="0.3">
      <c r="A1447">
        <v>83</v>
      </c>
      <c r="B1447" s="1" t="s">
        <v>191</v>
      </c>
      <c r="C1447" s="1" t="s">
        <v>47</v>
      </c>
      <c r="D1447">
        <v>536910</v>
      </c>
      <c r="E1447" s="3">
        <v>689230</v>
      </c>
      <c r="F1447">
        <v>78971</v>
      </c>
      <c r="G1447">
        <v>72</v>
      </c>
      <c r="H1447">
        <v>67150</v>
      </c>
      <c r="I1447">
        <v>48347</v>
      </c>
      <c r="J1447">
        <v>2544</v>
      </c>
      <c r="K1447">
        <v>2024</v>
      </c>
    </row>
    <row r="1448" spans="1:11" x14ac:dyDescent="0.3">
      <c r="A1448">
        <v>84</v>
      </c>
      <c r="B1448" s="1" t="s">
        <v>187</v>
      </c>
      <c r="C1448" s="1" t="s">
        <v>90</v>
      </c>
      <c r="D1448">
        <v>536350</v>
      </c>
      <c r="E1448" s="3">
        <v>618327</v>
      </c>
      <c r="F1448">
        <v>73652</v>
      </c>
      <c r="G1448">
        <v>72</v>
      </c>
      <c r="H1448">
        <v>28611</v>
      </c>
      <c r="I1448">
        <v>22771</v>
      </c>
      <c r="J1448">
        <v>34775</v>
      </c>
      <c r="K1448">
        <v>2024</v>
      </c>
    </row>
    <row r="1449" spans="1:11" x14ac:dyDescent="0.3">
      <c r="A1449">
        <v>85</v>
      </c>
      <c r="B1449" s="1" t="s">
        <v>91</v>
      </c>
      <c r="C1449" s="1" t="s">
        <v>55</v>
      </c>
      <c r="D1449">
        <v>531640</v>
      </c>
      <c r="E1449" s="3">
        <v>891705</v>
      </c>
      <c r="F1449">
        <v>73273</v>
      </c>
      <c r="G1449">
        <v>81</v>
      </c>
      <c r="H1449">
        <v>56144</v>
      </c>
      <c r="I1449">
        <v>36619</v>
      </c>
      <c r="J1449">
        <v>69833</v>
      </c>
      <c r="K1449">
        <v>2024</v>
      </c>
    </row>
    <row r="1450" spans="1:11" x14ac:dyDescent="0.3">
      <c r="A1450">
        <v>86</v>
      </c>
      <c r="B1450" s="1" t="s">
        <v>115</v>
      </c>
      <c r="C1450" s="1" t="s">
        <v>47</v>
      </c>
      <c r="D1450">
        <v>530420</v>
      </c>
      <c r="E1450" s="3">
        <v>671748</v>
      </c>
      <c r="F1450">
        <v>57133</v>
      </c>
      <c r="G1450">
        <v>74</v>
      </c>
      <c r="H1450">
        <v>79892</v>
      </c>
      <c r="I1450">
        <v>34403</v>
      </c>
      <c r="J1450">
        <v>8517</v>
      </c>
      <c r="K1450">
        <v>2024</v>
      </c>
    </row>
    <row r="1451" spans="1:11" x14ac:dyDescent="0.3">
      <c r="A1451">
        <v>87</v>
      </c>
      <c r="B1451" s="1" t="s">
        <v>159</v>
      </c>
      <c r="C1451" s="1" t="s">
        <v>90</v>
      </c>
      <c r="D1451">
        <v>522150</v>
      </c>
      <c r="E1451" s="3">
        <v>416881</v>
      </c>
      <c r="F1451">
        <v>38471</v>
      </c>
      <c r="G1451">
        <v>64</v>
      </c>
      <c r="H1451">
        <v>60549</v>
      </c>
      <c r="I1451">
        <v>30890</v>
      </c>
      <c r="J1451">
        <v>23939</v>
      </c>
      <c r="K1451">
        <v>2024</v>
      </c>
    </row>
    <row r="1452" spans="1:11" x14ac:dyDescent="0.3">
      <c r="A1452">
        <v>88</v>
      </c>
      <c r="B1452" s="1" t="s">
        <v>114</v>
      </c>
      <c r="C1452" s="1" t="s">
        <v>90</v>
      </c>
      <c r="D1452">
        <v>521640</v>
      </c>
      <c r="E1452" s="3">
        <v>261510</v>
      </c>
      <c r="F1452">
        <v>54628</v>
      </c>
      <c r="G1452">
        <v>60</v>
      </c>
      <c r="H1452">
        <v>84337</v>
      </c>
      <c r="I1452">
        <v>39334</v>
      </c>
      <c r="J1452">
        <v>34110</v>
      </c>
      <c r="K1452">
        <v>2024</v>
      </c>
    </row>
    <row r="1453" spans="1:11" x14ac:dyDescent="0.3">
      <c r="A1453">
        <v>89</v>
      </c>
      <c r="B1453" s="1" t="s">
        <v>150</v>
      </c>
      <c r="C1453" s="1" t="s">
        <v>62</v>
      </c>
      <c r="D1453">
        <v>518470</v>
      </c>
      <c r="E1453" s="3">
        <v>685312</v>
      </c>
      <c r="F1453">
        <v>61243</v>
      </c>
      <c r="G1453">
        <v>71</v>
      </c>
      <c r="H1453">
        <v>78743</v>
      </c>
      <c r="I1453">
        <v>0</v>
      </c>
      <c r="J1453">
        <v>30305</v>
      </c>
      <c r="K1453">
        <v>2024</v>
      </c>
    </row>
    <row r="1454" spans="1:11" x14ac:dyDescent="0.3">
      <c r="A1454">
        <v>90</v>
      </c>
      <c r="B1454" s="1" t="s">
        <v>132</v>
      </c>
      <c r="C1454" s="1" t="s">
        <v>24</v>
      </c>
      <c r="D1454">
        <v>516600</v>
      </c>
      <c r="E1454" s="3">
        <v>583364</v>
      </c>
      <c r="F1454">
        <v>61610</v>
      </c>
      <c r="G1454">
        <v>70</v>
      </c>
      <c r="H1454">
        <v>49173</v>
      </c>
      <c r="I1454">
        <v>35251</v>
      </c>
      <c r="J1454">
        <v>8315</v>
      </c>
      <c r="K1454">
        <v>2024</v>
      </c>
    </row>
    <row r="1455" spans="1:11" x14ac:dyDescent="0.3">
      <c r="A1455">
        <v>91</v>
      </c>
      <c r="B1455" s="1" t="s">
        <v>141</v>
      </c>
      <c r="C1455" s="1" t="s">
        <v>99</v>
      </c>
      <c r="D1455">
        <v>515840</v>
      </c>
      <c r="E1455" s="3">
        <v>450995</v>
      </c>
      <c r="F1455">
        <v>61254</v>
      </c>
      <c r="G1455">
        <v>69</v>
      </c>
      <c r="H1455">
        <v>75627</v>
      </c>
      <c r="I1455">
        <v>52233</v>
      </c>
      <c r="J1455">
        <v>19981</v>
      </c>
      <c r="K1455">
        <v>2024</v>
      </c>
    </row>
    <row r="1456" spans="1:11" x14ac:dyDescent="0.3">
      <c r="A1456">
        <v>92</v>
      </c>
      <c r="B1456" s="1" t="s">
        <v>119</v>
      </c>
      <c r="C1456" s="1" t="s">
        <v>55</v>
      </c>
      <c r="D1456">
        <v>513890</v>
      </c>
      <c r="E1456" s="3">
        <v>564568</v>
      </c>
      <c r="F1456">
        <v>52353</v>
      </c>
      <c r="G1456">
        <v>68</v>
      </c>
      <c r="H1456">
        <v>92255</v>
      </c>
      <c r="I1456">
        <v>42301</v>
      </c>
      <c r="J1456">
        <v>28958</v>
      </c>
      <c r="K1456">
        <v>2024</v>
      </c>
    </row>
    <row r="1457" spans="1:11" x14ac:dyDescent="0.3">
      <c r="A1457">
        <v>93</v>
      </c>
      <c r="B1457" s="1" t="s">
        <v>163</v>
      </c>
      <c r="C1457" s="1" t="s">
        <v>90</v>
      </c>
      <c r="D1457">
        <v>510630</v>
      </c>
      <c r="E1457" s="3">
        <v>655653</v>
      </c>
      <c r="F1457">
        <v>64189</v>
      </c>
      <c r="G1457">
        <v>66</v>
      </c>
      <c r="H1457">
        <v>59747</v>
      </c>
      <c r="I1457">
        <v>11297</v>
      </c>
      <c r="J1457">
        <v>17365</v>
      </c>
      <c r="K1457">
        <v>2024</v>
      </c>
    </row>
    <row r="1458" spans="1:11" x14ac:dyDescent="0.3">
      <c r="A1458">
        <v>94</v>
      </c>
      <c r="B1458" s="1" t="s">
        <v>171</v>
      </c>
      <c r="C1458" s="1" t="s">
        <v>90</v>
      </c>
      <c r="D1458">
        <v>508010</v>
      </c>
      <c r="E1458" s="3">
        <v>504612</v>
      </c>
      <c r="F1458">
        <v>35733</v>
      </c>
      <c r="G1458">
        <v>64</v>
      </c>
      <c r="H1458">
        <v>63354</v>
      </c>
      <c r="I1458">
        <v>30062</v>
      </c>
      <c r="J1458">
        <v>28528</v>
      </c>
      <c r="K1458">
        <v>2024</v>
      </c>
    </row>
    <row r="1459" spans="1:11" x14ac:dyDescent="0.3">
      <c r="A1459">
        <v>95</v>
      </c>
      <c r="B1459" s="1" t="s">
        <v>170</v>
      </c>
      <c r="C1459" s="1" t="s">
        <v>90</v>
      </c>
      <c r="D1459">
        <v>502330</v>
      </c>
      <c r="E1459" s="3">
        <v>388022</v>
      </c>
      <c r="F1459">
        <v>38454</v>
      </c>
      <c r="G1459">
        <v>62</v>
      </c>
      <c r="H1459">
        <v>60381</v>
      </c>
      <c r="I1459">
        <v>52419</v>
      </c>
      <c r="J1459">
        <v>18683</v>
      </c>
      <c r="K1459">
        <v>2024</v>
      </c>
    </row>
    <row r="1460" spans="1:11" x14ac:dyDescent="0.3">
      <c r="A1460">
        <v>96</v>
      </c>
      <c r="B1460" s="1" t="s">
        <v>196</v>
      </c>
      <c r="C1460" s="1" t="s">
        <v>24</v>
      </c>
      <c r="D1460">
        <v>497530</v>
      </c>
      <c r="E1460" s="3">
        <v>794937</v>
      </c>
      <c r="F1460">
        <v>72687</v>
      </c>
      <c r="G1460">
        <v>74</v>
      </c>
      <c r="H1460">
        <v>23407</v>
      </c>
      <c r="I1460">
        <v>16981</v>
      </c>
      <c r="J1460">
        <v>19955</v>
      </c>
      <c r="K1460">
        <v>2024</v>
      </c>
    </row>
    <row r="1461" spans="1:11" x14ac:dyDescent="0.3">
      <c r="A1461">
        <v>97</v>
      </c>
      <c r="B1461" s="1" t="s">
        <v>162</v>
      </c>
      <c r="C1461" s="1" t="s">
        <v>90</v>
      </c>
      <c r="D1461">
        <v>496860</v>
      </c>
      <c r="E1461" s="3">
        <v>433240</v>
      </c>
      <c r="F1461">
        <v>46438</v>
      </c>
      <c r="G1461">
        <v>67</v>
      </c>
      <c r="H1461">
        <v>70280</v>
      </c>
      <c r="I1461">
        <v>37926</v>
      </c>
      <c r="J1461">
        <v>11943</v>
      </c>
      <c r="K1461">
        <v>2024</v>
      </c>
    </row>
    <row r="1462" spans="1:11" x14ac:dyDescent="0.3">
      <c r="A1462">
        <v>98</v>
      </c>
      <c r="B1462" s="1" t="s">
        <v>130</v>
      </c>
      <c r="C1462" s="1" t="s">
        <v>24</v>
      </c>
      <c r="D1462">
        <v>492280</v>
      </c>
      <c r="E1462" s="3">
        <v>670486</v>
      </c>
      <c r="F1462">
        <v>70286</v>
      </c>
      <c r="G1462">
        <v>72</v>
      </c>
      <c r="H1462">
        <v>42336</v>
      </c>
      <c r="I1462">
        <v>58641</v>
      </c>
      <c r="J1462">
        <v>21464</v>
      </c>
      <c r="K1462">
        <v>2024</v>
      </c>
    </row>
    <row r="1463" spans="1:11" x14ac:dyDescent="0.3">
      <c r="A1463">
        <v>99</v>
      </c>
      <c r="B1463" s="1" t="s">
        <v>100</v>
      </c>
      <c r="C1463" s="1" t="s">
        <v>62</v>
      </c>
      <c r="D1463">
        <v>489340</v>
      </c>
      <c r="E1463" s="3">
        <v>669424</v>
      </c>
      <c r="F1463">
        <v>54171</v>
      </c>
      <c r="G1463">
        <v>70</v>
      </c>
      <c r="H1463">
        <v>77392</v>
      </c>
      <c r="I1463">
        <v>27835</v>
      </c>
      <c r="J1463">
        <v>34637</v>
      </c>
      <c r="K1463">
        <v>2024</v>
      </c>
    </row>
    <row r="1464" spans="1:11" x14ac:dyDescent="0.3">
      <c r="A1464">
        <v>100</v>
      </c>
      <c r="B1464" s="1" t="s">
        <v>97</v>
      </c>
      <c r="C1464" s="1" t="s">
        <v>90</v>
      </c>
      <c r="D1464">
        <v>488080</v>
      </c>
      <c r="E1464" s="3">
        <v>486691</v>
      </c>
      <c r="F1464">
        <v>66531</v>
      </c>
      <c r="G1464">
        <v>63</v>
      </c>
      <c r="H1464">
        <v>65538</v>
      </c>
      <c r="I1464">
        <v>50252</v>
      </c>
      <c r="J1464">
        <v>3300</v>
      </c>
      <c r="K1464">
        <v>2024</v>
      </c>
    </row>
    <row r="1465" spans="1:11" x14ac:dyDescent="0.3">
      <c r="A1465">
        <v>101</v>
      </c>
      <c r="B1465" s="1" t="s">
        <v>153</v>
      </c>
      <c r="C1465" s="1" t="s">
        <v>90</v>
      </c>
      <c r="D1465">
        <v>487440</v>
      </c>
      <c r="E1465" s="3">
        <v>440662</v>
      </c>
      <c r="F1465">
        <v>52953</v>
      </c>
      <c r="G1465">
        <v>64</v>
      </c>
      <c r="H1465">
        <v>60374</v>
      </c>
      <c r="I1465">
        <v>31514</v>
      </c>
      <c r="J1465">
        <v>10487</v>
      </c>
      <c r="K1465">
        <v>2024</v>
      </c>
    </row>
    <row r="1466" spans="1:11" x14ac:dyDescent="0.3">
      <c r="A1466">
        <v>102</v>
      </c>
      <c r="B1466" s="1" t="s">
        <v>131</v>
      </c>
      <c r="C1466" s="1" t="s">
        <v>62</v>
      </c>
      <c r="D1466">
        <v>487300</v>
      </c>
      <c r="E1466" s="3">
        <v>630641</v>
      </c>
      <c r="F1466">
        <v>81364</v>
      </c>
      <c r="G1466">
        <v>71</v>
      </c>
      <c r="H1466">
        <v>73048</v>
      </c>
      <c r="I1466">
        <v>71213</v>
      </c>
      <c r="J1466">
        <v>4414</v>
      </c>
      <c r="K1466">
        <v>2024</v>
      </c>
    </row>
    <row r="1467" spans="1:11" x14ac:dyDescent="0.3">
      <c r="A1467">
        <v>103</v>
      </c>
      <c r="B1467" s="1" t="s">
        <v>181</v>
      </c>
      <c r="C1467" s="1" t="s">
        <v>90</v>
      </c>
      <c r="D1467">
        <v>483170</v>
      </c>
      <c r="E1467" s="3">
        <v>591607</v>
      </c>
      <c r="F1467">
        <v>74978</v>
      </c>
      <c r="G1467">
        <v>64</v>
      </c>
      <c r="H1467">
        <v>54410</v>
      </c>
      <c r="I1467">
        <v>17140</v>
      </c>
      <c r="J1467">
        <v>10691</v>
      </c>
      <c r="K1467">
        <v>2024</v>
      </c>
    </row>
    <row r="1468" spans="1:11" x14ac:dyDescent="0.3">
      <c r="A1468">
        <v>104</v>
      </c>
      <c r="B1468" s="1" t="s">
        <v>112</v>
      </c>
      <c r="C1468" s="1" t="s">
        <v>24</v>
      </c>
      <c r="D1468">
        <v>479470</v>
      </c>
      <c r="E1468" s="3">
        <v>566892</v>
      </c>
      <c r="F1468">
        <v>29140</v>
      </c>
      <c r="G1468">
        <v>70</v>
      </c>
      <c r="H1468">
        <v>73101</v>
      </c>
      <c r="I1468">
        <v>10503</v>
      </c>
      <c r="J1468">
        <v>14227</v>
      </c>
      <c r="K1468">
        <v>2024</v>
      </c>
    </row>
    <row r="1469" spans="1:11" x14ac:dyDescent="0.3">
      <c r="A1469">
        <v>105</v>
      </c>
      <c r="B1469" s="1" t="s">
        <v>101</v>
      </c>
      <c r="C1469" s="1" t="s">
        <v>99</v>
      </c>
      <c r="D1469">
        <v>465670</v>
      </c>
      <c r="E1469" s="3">
        <v>499198</v>
      </c>
      <c r="F1469">
        <v>37140</v>
      </c>
      <c r="G1469">
        <v>65</v>
      </c>
      <c r="H1469">
        <v>62774</v>
      </c>
      <c r="I1469">
        <v>36035</v>
      </c>
      <c r="J1469">
        <v>12861</v>
      </c>
      <c r="K1469">
        <v>2024</v>
      </c>
    </row>
    <row r="1470" spans="1:11" x14ac:dyDescent="0.3">
      <c r="A1470">
        <v>106</v>
      </c>
      <c r="B1470" s="1" t="s">
        <v>164</v>
      </c>
      <c r="C1470" s="1" t="s">
        <v>90</v>
      </c>
      <c r="D1470">
        <v>455630</v>
      </c>
      <c r="E1470" s="3">
        <v>267622</v>
      </c>
      <c r="F1470">
        <v>41904</v>
      </c>
      <c r="G1470">
        <v>64</v>
      </c>
      <c r="H1470">
        <v>71180</v>
      </c>
      <c r="I1470">
        <v>36171</v>
      </c>
      <c r="J1470">
        <v>25525</v>
      </c>
      <c r="K1470">
        <v>2024</v>
      </c>
    </row>
    <row r="1471" spans="1:11" x14ac:dyDescent="0.3">
      <c r="A1471">
        <v>107</v>
      </c>
      <c r="B1471" s="1" t="s">
        <v>172</v>
      </c>
      <c r="C1471" s="1" t="s">
        <v>90</v>
      </c>
      <c r="D1471">
        <v>454800</v>
      </c>
      <c r="E1471" s="3">
        <v>353115</v>
      </c>
      <c r="F1471">
        <v>42378</v>
      </c>
      <c r="G1471">
        <v>63</v>
      </c>
      <c r="H1471">
        <v>55939</v>
      </c>
      <c r="I1471">
        <v>43211</v>
      </c>
      <c r="J1471">
        <v>31067</v>
      </c>
      <c r="K1471">
        <v>2024</v>
      </c>
    </row>
    <row r="1472" spans="1:11" x14ac:dyDescent="0.3">
      <c r="A1472">
        <v>108</v>
      </c>
      <c r="B1472" s="1" t="s">
        <v>144</v>
      </c>
      <c r="C1472" s="1" t="s">
        <v>24</v>
      </c>
      <c r="D1472">
        <v>450510</v>
      </c>
      <c r="E1472" s="3">
        <v>503457</v>
      </c>
      <c r="F1472">
        <v>43589</v>
      </c>
      <c r="G1472">
        <v>67</v>
      </c>
      <c r="H1472">
        <v>39683</v>
      </c>
      <c r="I1472">
        <v>33064</v>
      </c>
      <c r="J1472">
        <v>34511</v>
      </c>
      <c r="K1472">
        <v>2024</v>
      </c>
    </row>
    <row r="1473" spans="1:11" x14ac:dyDescent="0.3">
      <c r="A1473">
        <v>109</v>
      </c>
      <c r="B1473" s="1" t="s">
        <v>189</v>
      </c>
      <c r="C1473" s="1" t="s">
        <v>90</v>
      </c>
      <c r="D1473">
        <v>448490</v>
      </c>
      <c r="E1473" s="3">
        <v>350522</v>
      </c>
      <c r="F1473">
        <v>42303</v>
      </c>
      <c r="G1473">
        <v>65</v>
      </c>
      <c r="H1473">
        <v>53119</v>
      </c>
      <c r="I1473">
        <v>80918</v>
      </c>
      <c r="J1473">
        <v>8311</v>
      </c>
      <c r="K1473">
        <v>2024</v>
      </c>
    </row>
    <row r="1474" spans="1:11" x14ac:dyDescent="0.3">
      <c r="A1474">
        <v>110</v>
      </c>
      <c r="B1474" s="1" t="s">
        <v>169</v>
      </c>
      <c r="C1474" s="1" t="s">
        <v>90</v>
      </c>
      <c r="D1474">
        <v>447130</v>
      </c>
      <c r="E1474" s="3">
        <v>281849</v>
      </c>
      <c r="F1474">
        <v>49824</v>
      </c>
      <c r="G1474">
        <v>61</v>
      </c>
      <c r="H1474">
        <v>47621</v>
      </c>
      <c r="I1474">
        <v>54504</v>
      </c>
      <c r="J1474">
        <v>19601</v>
      </c>
      <c r="K1474">
        <v>2024</v>
      </c>
    </row>
    <row r="1475" spans="1:11" x14ac:dyDescent="0.3">
      <c r="A1475">
        <v>111</v>
      </c>
      <c r="B1475" s="1" t="s">
        <v>145</v>
      </c>
      <c r="C1475" s="1" t="s">
        <v>90</v>
      </c>
      <c r="D1475">
        <v>446960</v>
      </c>
      <c r="E1475" s="3">
        <v>484339</v>
      </c>
      <c r="F1475">
        <v>55387</v>
      </c>
      <c r="G1475">
        <v>66</v>
      </c>
      <c r="H1475">
        <v>60069</v>
      </c>
      <c r="I1475">
        <v>70235</v>
      </c>
      <c r="J1475">
        <v>11927</v>
      </c>
      <c r="K1475">
        <v>2024</v>
      </c>
    </row>
    <row r="1476" spans="1:11" x14ac:dyDescent="0.3">
      <c r="A1476">
        <v>112</v>
      </c>
      <c r="B1476" s="1" t="s">
        <v>127</v>
      </c>
      <c r="C1476" s="1" t="s">
        <v>24</v>
      </c>
      <c r="D1476">
        <v>442180</v>
      </c>
      <c r="E1476" s="3">
        <v>610340</v>
      </c>
      <c r="F1476">
        <v>59058</v>
      </c>
      <c r="G1476">
        <v>73</v>
      </c>
      <c r="H1476">
        <v>29414</v>
      </c>
      <c r="I1476">
        <v>5960</v>
      </c>
      <c r="J1476">
        <v>3191</v>
      </c>
      <c r="K1476">
        <v>2024</v>
      </c>
    </row>
    <row r="1477" spans="1:11" x14ac:dyDescent="0.3">
      <c r="A1477">
        <v>113</v>
      </c>
      <c r="B1477" s="1" t="s">
        <v>175</v>
      </c>
      <c r="C1477" s="1" t="s">
        <v>90</v>
      </c>
      <c r="D1477">
        <v>437740</v>
      </c>
      <c r="E1477" s="3">
        <v>426801</v>
      </c>
      <c r="F1477">
        <v>7940</v>
      </c>
      <c r="G1477">
        <v>64</v>
      </c>
      <c r="H1477">
        <v>65654</v>
      </c>
      <c r="I1477">
        <v>27961</v>
      </c>
      <c r="J1477">
        <v>43828</v>
      </c>
      <c r="K1477">
        <v>2024</v>
      </c>
    </row>
    <row r="1478" spans="1:11" x14ac:dyDescent="0.3">
      <c r="A1478">
        <v>114</v>
      </c>
      <c r="B1478" s="1" t="s">
        <v>161</v>
      </c>
      <c r="C1478" s="1" t="s">
        <v>90</v>
      </c>
      <c r="D1478">
        <v>437170</v>
      </c>
      <c r="E1478" s="3">
        <v>360638</v>
      </c>
      <c r="F1478">
        <v>71189</v>
      </c>
      <c r="G1478">
        <v>66</v>
      </c>
      <c r="H1478">
        <v>68044</v>
      </c>
      <c r="I1478">
        <v>44368</v>
      </c>
      <c r="J1478">
        <v>9423</v>
      </c>
      <c r="K1478">
        <v>2024</v>
      </c>
    </row>
    <row r="1479" spans="1:11" x14ac:dyDescent="0.3">
      <c r="A1479">
        <v>115</v>
      </c>
      <c r="B1479" s="1" t="s">
        <v>149</v>
      </c>
      <c r="C1479" s="1" t="s">
        <v>39</v>
      </c>
      <c r="D1479">
        <v>435450</v>
      </c>
      <c r="E1479" s="3">
        <v>456719</v>
      </c>
      <c r="F1479">
        <v>61126</v>
      </c>
      <c r="G1479">
        <v>68</v>
      </c>
      <c r="H1479">
        <v>52172</v>
      </c>
      <c r="I1479">
        <v>100000</v>
      </c>
      <c r="J1479">
        <v>30273</v>
      </c>
      <c r="K1479">
        <v>2024</v>
      </c>
    </row>
    <row r="1480" spans="1:11" x14ac:dyDescent="0.3">
      <c r="A1480">
        <v>116</v>
      </c>
      <c r="B1480" s="1" t="s">
        <v>165</v>
      </c>
      <c r="C1480" s="1" t="s">
        <v>39</v>
      </c>
      <c r="D1480">
        <v>434070</v>
      </c>
      <c r="E1480" s="3">
        <v>472308</v>
      </c>
      <c r="F1480">
        <v>63008</v>
      </c>
      <c r="G1480">
        <v>68</v>
      </c>
      <c r="H1480">
        <v>100000</v>
      </c>
      <c r="I1480">
        <v>42378</v>
      </c>
      <c r="J1480">
        <v>12354</v>
      </c>
      <c r="K1480">
        <v>2024</v>
      </c>
    </row>
    <row r="1481" spans="1:11" x14ac:dyDescent="0.3">
      <c r="A1481">
        <v>117</v>
      </c>
      <c r="B1481" s="1" t="s">
        <v>134</v>
      </c>
      <c r="C1481" s="1" t="s">
        <v>90</v>
      </c>
      <c r="D1481">
        <v>428940</v>
      </c>
      <c r="E1481" s="3">
        <v>502920</v>
      </c>
      <c r="F1481">
        <v>46219</v>
      </c>
      <c r="G1481">
        <v>66</v>
      </c>
      <c r="H1481">
        <v>72188</v>
      </c>
      <c r="I1481">
        <v>45589</v>
      </c>
      <c r="J1481">
        <v>4822</v>
      </c>
      <c r="K1481">
        <v>2024</v>
      </c>
    </row>
    <row r="1482" spans="1:11" x14ac:dyDescent="0.3">
      <c r="A1482">
        <v>118</v>
      </c>
      <c r="B1482" s="1" t="s">
        <v>136</v>
      </c>
      <c r="C1482" s="1" t="s">
        <v>90</v>
      </c>
      <c r="D1482">
        <v>426860</v>
      </c>
      <c r="E1482" s="3">
        <v>289078</v>
      </c>
      <c r="F1482">
        <v>41648</v>
      </c>
      <c r="G1482">
        <v>64</v>
      </c>
      <c r="H1482">
        <v>63225</v>
      </c>
      <c r="I1482">
        <v>44368</v>
      </c>
      <c r="J1482">
        <v>12954</v>
      </c>
      <c r="K1482">
        <v>2024</v>
      </c>
    </row>
    <row r="1483" spans="1:11" x14ac:dyDescent="0.3">
      <c r="A1483">
        <v>119</v>
      </c>
      <c r="B1483" s="1" t="s">
        <v>158</v>
      </c>
      <c r="C1483" s="1" t="s">
        <v>90</v>
      </c>
      <c r="D1483">
        <v>423200</v>
      </c>
      <c r="E1483" s="3">
        <v>349171</v>
      </c>
      <c r="F1483">
        <v>42555</v>
      </c>
      <c r="G1483">
        <v>63</v>
      </c>
      <c r="H1483">
        <v>67842</v>
      </c>
      <c r="I1483">
        <v>30029</v>
      </c>
      <c r="J1483">
        <v>15580</v>
      </c>
      <c r="K1483">
        <v>2024</v>
      </c>
    </row>
    <row r="1484" spans="1:11" x14ac:dyDescent="0.3">
      <c r="A1484">
        <v>120</v>
      </c>
      <c r="B1484" s="1" t="s">
        <v>167</v>
      </c>
      <c r="C1484" s="1" t="s">
        <v>90</v>
      </c>
      <c r="D1484">
        <v>422790</v>
      </c>
      <c r="E1484" s="3">
        <v>293343</v>
      </c>
      <c r="F1484">
        <v>50942</v>
      </c>
      <c r="G1484">
        <v>65</v>
      </c>
      <c r="H1484">
        <v>29013</v>
      </c>
      <c r="I1484">
        <v>43020</v>
      </c>
      <c r="J1484">
        <v>21427</v>
      </c>
      <c r="K1484">
        <v>2024</v>
      </c>
    </row>
    <row r="1485" spans="1:11" x14ac:dyDescent="0.3">
      <c r="A1485">
        <v>121</v>
      </c>
      <c r="B1485" s="1" t="s">
        <v>178</v>
      </c>
      <c r="C1485" s="1" t="s">
        <v>90</v>
      </c>
      <c r="D1485">
        <v>421410</v>
      </c>
      <c r="E1485" s="3">
        <v>354351</v>
      </c>
      <c r="F1485">
        <v>36257</v>
      </c>
      <c r="G1485">
        <v>65</v>
      </c>
      <c r="H1485">
        <v>52429</v>
      </c>
      <c r="I1485">
        <v>31606</v>
      </c>
      <c r="J1485">
        <v>27127</v>
      </c>
      <c r="K1485">
        <v>2024</v>
      </c>
    </row>
    <row r="1486" spans="1:11" x14ac:dyDescent="0.3">
      <c r="A1486">
        <v>122</v>
      </c>
      <c r="B1486" s="1" t="s">
        <v>103</v>
      </c>
      <c r="C1486" s="1" t="s">
        <v>24</v>
      </c>
      <c r="D1486">
        <v>418580</v>
      </c>
      <c r="E1486" s="3">
        <v>589711</v>
      </c>
      <c r="F1486">
        <v>60807</v>
      </c>
      <c r="G1486">
        <v>73</v>
      </c>
      <c r="H1486">
        <v>68713</v>
      </c>
      <c r="I1486">
        <v>14801</v>
      </c>
      <c r="J1486">
        <v>32942</v>
      </c>
      <c r="K1486">
        <v>2024</v>
      </c>
    </row>
    <row r="1487" spans="1:11" x14ac:dyDescent="0.3">
      <c r="A1487">
        <v>123</v>
      </c>
      <c r="B1487" s="1" t="s">
        <v>137</v>
      </c>
      <c r="C1487" s="1" t="s">
        <v>99</v>
      </c>
      <c r="D1487">
        <v>405410</v>
      </c>
      <c r="E1487" s="3">
        <v>544809</v>
      </c>
      <c r="F1487">
        <v>40375</v>
      </c>
      <c r="G1487">
        <v>68</v>
      </c>
      <c r="H1487">
        <v>88795</v>
      </c>
      <c r="I1487">
        <v>43393</v>
      </c>
      <c r="J1487">
        <v>21217</v>
      </c>
      <c r="K1487">
        <v>2024</v>
      </c>
    </row>
    <row r="1488" spans="1:11" x14ac:dyDescent="0.3">
      <c r="A1488">
        <v>124</v>
      </c>
      <c r="B1488" s="1" t="s">
        <v>155</v>
      </c>
      <c r="C1488" s="1" t="s">
        <v>24</v>
      </c>
      <c r="D1488">
        <v>397660</v>
      </c>
      <c r="E1488" s="3">
        <v>640020</v>
      </c>
      <c r="F1488">
        <v>61604</v>
      </c>
      <c r="G1488">
        <v>70</v>
      </c>
      <c r="H1488">
        <v>56722</v>
      </c>
      <c r="I1488">
        <v>6326</v>
      </c>
      <c r="J1488">
        <v>45073</v>
      </c>
      <c r="K1488">
        <v>2024</v>
      </c>
    </row>
    <row r="1489" spans="1:11" x14ac:dyDescent="0.3">
      <c r="A1489">
        <v>125</v>
      </c>
      <c r="B1489" s="1" t="s">
        <v>152</v>
      </c>
      <c r="C1489" s="1" t="s">
        <v>99</v>
      </c>
      <c r="D1489">
        <v>389810</v>
      </c>
      <c r="E1489" s="3">
        <v>635814</v>
      </c>
      <c r="F1489">
        <v>72914</v>
      </c>
      <c r="G1489">
        <v>73</v>
      </c>
      <c r="H1489">
        <v>67536</v>
      </c>
      <c r="I1489">
        <v>35942</v>
      </c>
      <c r="J1489">
        <v>5363</v>
      </c>
      <c r="K1489">
        <v>2024</v>
      </c>
    </row>
    <row r="1490" spans="1:11" x14ac:dyDescent="0.3">
      <c r="A1490">
        <v>126</v>
      </c>
      <c r="B1490" s="1" t="s">
        <v>129</v>
      </c>
      <c r="C1490" s="1" t="s">
        <v>99</v>
      </c>
      <c r="D1490">
        <v>388590</v>
      </c>
      <c r="E1490" s="3">
        <v>523988</v>
      </c>
      <c r="F1490">
        <v>15414</v>
      </c>
      <c r="G1490">
        <v>71</v>
      </c>
      <c r="H1490">
        <v>89752</v>
      </c>
      <c r="I1490">
        <v>35025</v>
      </c>
      <c r="J1490">
        <v>29115</v>
      </c>
      <c r="K1490">
        <v>2024</v>
      </c>
    </row>
    <row r="1491" spans="1:11" x14ac:dyDescent="0.3">
      <c r="A1491">
        <v>127</v>
      </c>
      <c r="B1491" s="1" t="s">
        <v>142</v>
      </c>
      <c r="C1491" s="1" t="s">
        <v>90</v>
      </c>
      <c r="D1491">
        <v>386090</v>
      </c>
      <c r="E1491" s="3">
        <v>369798</v>
      </c>
      <c r="F1491">
        <v>56598</v>
      </c>
      <c r="G1491">
        <v>68</v>
      </c>
      <c r="H1491">
        <v>51069</v>
      </c>
      <c r="I1491">
        <v>67442</v>
      </c>
      <c r="J1491">
        <v>17505</v>
      </c>
      <c r="K1491">
        <v>2024</v>
      </c>
    </row>
    <row r="1492" spans="1:11" x14ac:dyDescent="0.3">
      <c r="A1492">
        <v>128</v>
      </c>
      <c r="B1492" s="1" t="s">
        <v>166</v>
      </c>
      <c r="C1492" s="1" t="s">
        <v>90</v>
      </c>
      <c r="D1492">
        <v>378060</v>
      </c>
      <c r="E1492" s="3">
        <v>383149</v>
      </c>
      <c r="F1492">
        <v>43676</v>
      </c>
      <c r="G1492">
        <v>67</v>
      </c>
      <c r="H1492">
        <v>82153</v>
      </c>
      <c r="I1492">
        <v>47697</v>
      </c>
      <c r="J1492">
        <v>44723</v>
      </c>
      <c r="K1492">
        <v>2024</v>
      </c>
    </row>
    <row r="1493" spans="1:11" x14ac:dyDescent="0.3">
      <c r="A1493">
        <v>129</v>
      </c>
      <c r="B1493" s="1" t="s">
        <v>160</v>
      </c>
      <c r="C1493" s="1" t="s">
        <v>90</v>
      </c>
      <c r="D1493">
        <v>356630</v>
      </c>
      <c r="E1493" s="3">
        <v>418371</v>
      </c>
      <c r="F1493">
        <v>20290</v>
      </c>
      <c r="G1493">
        <v>66</v>
      </c>
      <c r="H1493">
        <v>19937</v>
      </c>
      <c r="I1493">
        <v>32054</v>
      </c>
      <c r="J1493">
        <v>27768</v>
      </c>
      <c r="K1493">
        <v>2024</v>
      </c>
    </row>
    <row r="1494" spans="1:11" x14ac:dyDescent="0.3">
      <c r="A1494">
        <v>130</v>
      </c>
      <c r="B1494" s="1" t="s">
        <v>156</v>
      </c>
      <c r="C1494" s="1" t="s">
        <v>24</v>
      </c>
      <c r="D1494">
        <v>356100</v>
      </c>
      <c r="E1494" s="3">
        <v>313606</v>
      </c>
      <c r="F1494">
        <v>79273</v>
      </c>
      <c r="G1494">
        <v>64</v>
      </c>
      <c r="H1494">
        <v>41974</v>
      </c>
      <c r="I1494">
        <v>19988</v>
      </c>
      <c r="J1494">
        <v>19678</v>
      </c>
      <c r="K1494">
        <v>2024</v>
      </c>
    </row>
    <row r="1495" spans="1:11" x14ac:dyDescent="0.3">
      <c r="A1495">
        <v>131</v>
      </c>
      <c r="B1495" s="1" t="s">
        <v>105</v>
      </c>
      <c r="C1495" s="1" t="s">
        <v>90</v>
      </c>
      <c r="D1495">
        <v>350240</v>
      </c>
      <c r="E1495" s="3">
        <v>419978</v>
      </c>
      <c r="F1495">
        <v>50041</v>
      </c>
      <c r="G1495">
        <v>63</v>
      </c>
      <c r="H1495">
        <v>84216</v>
      </c>
      <c r="I1495">
        <v>41825</v>
      </c>
      <c r="J1495">
        <v>19012</v>
      </c>
      <c r="K1495">
        <v>2024</v>
      </c>
    </row>
    <row r="1496" spans="1:11" x14ac:dyDescent="0.3">
      <c r="A1496">
        <v>132</v>
      </c>
      <c r="B1496" s="1" t="s">
        <v>194</v>
      </c>
      <c r="C1496" s="1" t="s">
        <v>90</v>
      </c>
      <c r="D1496">
        <v>350200</v>
      </c>
      <c r="E1496" s="3">
        <v>586448</v>
      </c>
      <c r="F1496">
        <v>57229</v>
      </c>
      <c r="G1496">
        <v>60</v>
      </c>
      <c r="H1496">
        <v>32912</v>
      </c>
      <c r="I1496">
        <v>14811</v>
      </c>
      <c r="J1496">
        <v>20145</v>
      </c>
      <c r="K1496">
        <v>2024</v>
      </c>
    </row>
    <row r="1497" spans="1:11" x14ac:dyDescent="0.3">
      <c r="A1497">
        <v>133</v>
      </c>
      <c r="B1497" s="1" t="s">
        <v>151</v>
      </c>
      <c r="C1497" s="1" t="s">
        <v>90</v>
      </c>
      <c r="D1497">
        <v>342100</v>
      </c>
      <c r="E1497" s="3">
        <v>288206</v>
      </c>
      <c r="F1497">
        <v>25386</v>
      </c>
      <c r="G1497">
        <v>66</v>
      </c>
      <c r="H1497">
        <v>66127</v>
      </c>
      <c r="I1497">
        <v>33636</v>
      </c>
      <c r="J1497">
        <v>23615</v>
      </c>
      <c r="K1497">
        <v>2024</v>
      </c>
    </row>
    <row r="1498" spans="1:11" x14ac:dyDescent="0.3">
      <c r="A1498">
        <v>134</v>
      </c>
      <c r="B1498" s="1" t="s">
        <v>148</v>
      </c>
      <c r="C1498" s="1" t="s">
        <v>90</v>
      </c>
      <c r="D1498">
        <v>338340</v>
      </c>
      <c r="E1498" s="3">
        <v>674926</v>
      </c>
      <c r="F1498">
        <v>59919</v>
      </c>
      <c r="G1498">
        <v>62</v>
      </c>
      <c r="H1498">
        <v>65642</v>
      </c>
      <c r="I1498">
        <v>3599</v>
      </c>
      <c r="J1498">
        <v>14271</v>
      </c>
      <c r="K1498">
        <v>2024</v>
      </c>
    </row>
    <row r="1499" spans="1:11" x14ac:dyDescent="0.3">
      <c r="A1499">
        <v>135</v>
      </c>
      <c r="B1499" s="1" t="s">
        <v>135</v>
      </c>
      <c r="C1499" s="1" t="s">
        <v>90</v>
      </c>
      <c r="D1499">
        <v>334110</v>
      </c>
      <c r="E1499" s="3">
        <v>349606</v>
      </c>
      <c r="F1499">
        <v>52587</v>
      </c>
      <c r="G1499">
        <v>62</v>
      </c>
      <c r="H1499">
        <v>56401</v>
      </c>
      <c r="I1499">
        <v>23983</v>
      </c>
      <c r="J1499">
        <v>22708</v>
      </c>
      <c r="K1499">
        <v>2024</v>
      </c>
    </row>
    <row r="1500" spans="1:11" x14ac:dyDescent="0.3">
      <c r="A1500">
        <v>136</v>
      </c>
      <c r="B1500" s="1" t="s">
        <v>140</v>
      </c>
      <c r="C1500" s="1" t="s">
        <v>90</v>
      </c>
      <c r="D1500">
        <v>329540</v>
      </c>
      <c r="E1500" s="3">
        <v>249318</v>
      </c>
      <c r="F1500">
        <v>41119</v>
      </c>
      <c r="G1500">
        <v>63</v>
      </c>
      <c r="H1500">
        <v>54754</v>
      </c>
      <c r="I1500">
        <v>47074</v>
      </c>
      <c r="J1500">
        <v>12548</v>
      </c>
      <c r="K1500">
        <v>2024</v>
      </c>
    </row>
    <row r="1501" spans="1:11" x14ac:dyDescent="0.3">
      <c r="A1501">
        <v>137</v>
      </c>
      <c r="B1501" s="1" t="s">
        <v>143</v>
      </c>
      <c r="C1501" s="1" t="s">
        <v>90</v>
      </c>
      <c r="D1501">
        <v>324520</v>
      </c>
      <c r="E1501" s="3">
        <v>305663</v>
      </c>
      <c r="F1501">
        <v>35012</v>
      </c>
      <c r="G1501">
        <v>63</v>
      </c>
      <c r="H1501">
        <v>54328</v>
      </c>
      <c r="I1501">
        <v>45249</v>
      </c>
      <c r="J1501">
        <v>9268</v>
      </c>
      <c r="K1501">
        <v>2024</v>
      </c>
    </row>
    <row r="1502" spans="1:11" x14ac:dyDescent="0.3">
      <c r="A1502">
        <v>138</v>
      </c>
      <c r="B1502" s="1" t="s">
        <v>117</v>
      </c>
      <c r="C1502" s="1" t="s">
        <v>90</v>
      </c>
      <c r="D1502">
        <v>318620</v>
      </c>
      <c r="E1502" s="3">
        <v>360103</v>
      </c>
      <c r="F1502">
        <v>52618</v>
      </c>
      <c r="G1502">
        <v>55</v>
      </c>
      <c r="H1502">
        <v>60601</v>
      </c>
      <c r="I1502">
        <v>20480</v>
      </c>
      <c r="J1502">
        <v>14774</v>
      </c>
      <c r="K1502">
        <v>2024</v>
      </c>
    </row>
    <row r="1503" spans="1:11" x14ac:dyDescent="0.3">
      <c r="A1503">
        <v>139</v>
      </c>
      <c r="B1503" s="1" t="s">
        <v>123</v>
      </c>
      <c r="C1503" s="1" t="s">
        <v>24</v>
      </c>
      <c r="D1503">
        <v>270650</v>
      </c>
      <c r="E1503" s="3">
        <v>643174</v>
      </c>
      <c r="F1503">
        <v>35676</v>
      </c>
      <c r="G1503">
        <v>72</v>
      </c>
      <c r="H1503">
        <v>20065</v>
      </c>
      <c r="I1503">
        <v>16876</v>
      </c>
      <c r="J1503">
        <v>5003</v>
      </c>
      <c r="K1503">
        <v>2024</v>
      </c>
    </row>
    <row r="1504" spans="1:11" x14ac:dyDescent="0.3">
      <c r="A1504">
        <v>140</v>
      </c>
      <c r="B1504" s="1" t="s">
        <v>173</v>
      </c>
      <c r="C1504" s="1" t="s">
        <v>99</v>
      </c>
      <c r="D1504">
        <v>172100</v>
      </c>
      <c r="E1504" s="3">
        <v>293451</v>
      </c>
      <c r="F1504">
        <v>0</v>
      </c>
      <c r="G1504">
        <v>62</v>
      </c>
      <c r="H1504">
        <v>0</v>
      </c>
      <c r="I1504">
        <v>22638</v>
      </c>
      <c r="J1504">
        <v>15383</v>
      </c>
      <c r="K1504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1D30-FBB5-46D4-BBF8-678955952A33}">
  <dimension ref="A1:L723"/>
  <sheetViews>
    <sheetView topLeftCell="C1" workbookViewId="0">
      <selection activeCell="D588" sqref="D588"/>
    </sheetView>
  </sheetViews>
  <sheetFormatPr defaultRowHeight="14.4" x14ac:dyDescent="0.3"/>
  <cols>
    <col min="1" max="1" width="10" style="12" bestFit="1" customWidth="1"/>
    <col min="2" max="2" width="22.44140625" style="34" bestFit="1" customWidth="1"/>
    <col min="3" max="3" width="32.88671875" style="34" bestFit="1" customWidth="1"/>
    <col min="4" max="4" width="16.77734375" style="12" bestFit="1" customWidth="1"/>
    <col min="5" max="5" width="15.6640625" bestFit="1" customWidth="1"/>
    <col min="6" max="6" width="15.109375" style="12" bestFit="1" customWidth="1"/>
    <col min="7" max="7" width="22.88671875" style="12" bestFit="1" customWidth="1"/>
    <col min="8" max="8" width="28.109375" style="12" bestFit="1" customWidth="1"/>
    <col min="9" max="9" width="12.21875" style="12" bestFit="1" customWidth="1"/>
    <col min="10" max="10" width="25" style="12" bestFit="1" customWidth="1"/>
    <col min="11" max="11" width="6.88671875" bestFit="1" customWidth="1"/>
    <col min="12" max="12" width="23.44140625" style="12" bestFit="1" customWidth="1"/>
  </cols>
  <sheetData>
    <row r="1" spans="1:12" x14ac:dyDescent="0.3">
      <c r="A1" s="30" t="s">
        <v>0</v>
      </c>
      <c r="B1" s="32" t="s">
        <v>1</v>
      </c>
      <c r="C1" s="32" t="s">
        <v>2</v>
      </c>
      <c r="D1" s="35" t="s">
        <v>3</v>
      </c>
      <c r="E1" s="8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5" t="s">
        <v>10</v>
      </c>
      <c r="L1" s="36" t="s">
        <v>215</v>
      </c>
    </row>
    <row r="2" spans="1:12" x14ac:dyDescent="0.3">
      <c r="A2" s="31">
        <v>1</v>
      </c>
      <c r="B2" s="33" t="s">
        <v>18</v>
      </c>
      <c r="C2" s="33" t="s">
        <v>12</v>
      </c>
      <c r="D2" s="17">
        <v>780870</v>
      </c>
      <c r="E2" s="7">
        <v>836344</v>
      </c>
      <c r="F2" s="17">
        <v>96896</v>
      </c>
      <c r="G2" s="17">
        <v>72</v>
      </c>
      <c r="H2" s="17">
        <v>95535</v>
      </c>
      <c r="I2" s="17">
        <v>28022</v>
      </c>
      <c r="J2" s="17">
        <v>10373</v>
      </c>
      <c r="K2" s="6">
        <v>2020</v>
      </c>
      <c r="L2" s="12">
        <f>AVERAGE(E2,F2,H2,)</f>
        <v>257193.75</v>
      </c>
    </row>
    <row r="3" spans="1:12" x14ac:dyDescent="0.3">
      <c r="A3" s="31">
        <v>2</v>
      </c>
      <c r="B3" s="33" t="s">
        <v>14</v>
      </c>
      <c r="C3" s="33" t="s">
        <v>12</v>
      </c>
      <c r="D3" s="17">
        <v>764560</v>
      </c>
      <c r="E3" s="7">
        <v>863519</v>
      </c>
      <c r="F3" s="17">
        <v>97149</v>
      </c>
      <c r="G3" s="17">
        <v>72</v>
      </c>
      <c r="H3" s="17">
        <v>95928</v>
      </c>
      <c r="I3" s="17">
        <v>42609</v>
      </c>
      <c r="J3" s="17">
        <v>7109</v>
      </c>
      <c r="K3" s="6">
        <v>2020</v>
      </c>
      <c r="L3" s="12">
        <f t="shared" ref="L3:L66" si="0">AVERAGE(E3,F3,H3,)</f>
        <v>264149</v>
      </c>
    </row>
    <row r="4" spans="1:12" x14ac:dyDescent="0.3">
      <c r="A4" s="31">
        <v>3</v>
      </c>
      <c r="B4" s="33" t="s">
        <v>11</v>
      </c>
      <c r="C4" s="33" t="s">
        <v>12</v>
      </c>
      <c r="D4" s="17">
        <v>755990</v>
      </c>
      <c r="E4" s="7">
        <v>905054</v>
      </c>
      <c r="F4" s="17">
        <v>95143</v>
      </c>
      <c r="G4" s="17">
        <v>74</v>
      </c>
      <c r="H4" s="17">
        <v>90723</v>
      </c>
      <c r="I4" s="17">
        <v>47218</v>
      </c>
      <c r="J4" s="17">
        <v>23486</v>
      </c>
      <c r="K4" s="6">
        <v>2020</v>
      </c>
      <c r="L4" s="12">
        <f t="shared" si="0"/>
        <v>272730</v>
      </c>
    </row>
    <row r="5" spans="1:12" x14ac:dyDescent="0.3">
      <c r="A5" s="31">
        <v>4</v>
      </c>
      <c r="B5" s="33" t="s">
        <v>13</v>
      </c>
      <c r="C5" s="33" t="s">
        <v>12</v>
      </c>
      <c r="D5" s="17">
        <v>750450</v>
      </c>
      <c r="E5" s="7">
        <v>863228</v>
      </c>
      <c r="F5" s="17">
        <v>100000</v>
      </c>
      <c r="G5" s="17">
        <v>73</v>
      </c>
      <c r="H5" s="17">
        <v>95487</v>
      </c>
      <c r="I5" s="17">
        <v>63587</v>
      </c>
      <c r="J5" s="17">
        <v>72890</v>
      </c>
      <c r="K5" s="6">
        <v>2020</v>
      </c>
      <c r="L5" s="12">
        <f t="shared" si="0"/>
        <v>264678.75</v>
      </c>
    </row>
    <row r="6" spans="1:12" x14ac:dyDescent="0.3">
      <c r="A6" s="31">
        <v>5</v>
      </c>
      <c r="B6" s="33" t="s">
        <v>15</v>
      </c>
      <c r="C6" s="33" t="s">
        <v>12</v>
      </c>
      <c r="D6" s="17">
        <v>748800</v>
      </c>
      <c r="E6" s="7">
        <v>926810</v>
      </c>
      <c r="F6" s="17">
        <v>96614</v>
      </c>
      <c r="G6" s="17">
        <v>73</v>
      </c>
      <c r="H6" s="17">
        <v>96672</v>
      </c>
      <c r="I6" s="17">
        <v>50540</v>
      </c>
      <c r="J6" s="17">
        <v>18580</v>
      </c>
      <c r="K6" s="6">
        <v>2020</v>
      </c>
      <c r="L6" s="12">
        <f t="shared" si="0"/>
        <v>280024</v>
      </c>
    </row>
    <row r="7" spans="1:12" x14ac:dyDescent="0.3">
      <c r="A7" s="31">
        <v>6</v>
      </c>
      <c r="B7" s="33" t="s">
        <v>19</v>
      </c>
      <c r="C7" s="33" t="s">
        <v>12</v>
      </c>
      <c r="D7" s="17">
        <v>744890</v>
      </c>
      <c r="E7" s="7">
        <v>871326</v>
      </c>
      <c r="F7" s="17">
        <v>94577</v>
      </c>
      <c r="G7" s="17">
        <v>72</v>
      </c>
      <c r="H7" s="17">
        <v>88512</v>
      </c>
      <c r="I7" s="17">
        <v>59022</v>
      </c>
      <c r="J7" s="17">
        <v>30871</v>
      </c>
      <c r="K7" s="6">
        <v>2020</v>
      </c>
      <c r="L7" s="12">
        <f t="shared" si="0"/>
        <v>263603.75</v>
      </c>
    </row>
    <row r="8" spans="1:12" x14ac:dyDescent="0.3">
      <c r="A8" s="31">
        <v>7</v>
      </c>
      <c r="B8" s="33" t="s">
        <v>20</v>
      </c>
      <c r="C8" s="33" t="s">
        <v>12</v>
      </c>
      <c r="D8" s="17">
        <v>735350</v>
      </c>
      <c r="E8" s="7">
        <v>860451</v>
      </c>
      <c r="F8" s="17">
        <v>92619</v>
      </c>
      <c r="G8" s="17">
        <v>73</v>
      </c>
      <c r="H8" s="17">
        <v>93801</v>
      </c>
      <c r="I8" s="17">
        <v>47880</v>
      </c>
      <c r="J8" s="17">
        <v>17086</v>
      </c>
      <c r="K8" s="6">
        <v>2020</v>
      </c>
      <c r="L8" s="12">
        <f t="shared" si="0"/>
        <v>261717.75</v>
      </c>
    </row>
    <row r="9" spans="1:12" x14ac:dyDescent="0.3">
      <c r="A9" s="31">
        <v>8</v>
      </c>
      <c r="B9" s="33" t="s">
        <v>21</v>
      </c>
      <c r="C9" s="33" t="s">
        <v>17</v>
      </c>
      <c r="D9" s="17">
        <v>729960</v>
      </c>
      <c r="E9" s="7">
        <v>808445</v>
      </c>
      <c r="F9" s="17">
        <v>96100</v>
      </c>
      <c r="G9" s="17">
        <v>73</v>
      </c>
      <c r="H9" s="17">
        <v>93295</v>
      </c>
      <c r="I9" s="17">
        <v>57164</v>
      </c>
      <c r="J9" s="17">
        <v>13484</v>
      </c>
      <c r="K9" s="6">
        <v>2020</v>
      </c>
      <c r="L9" s="12">
        <f t="shared" si="0"/>
        <v>249460</v>
      </c>
    </row>
    <row r="10" spans="1:12" x14ac:dyDescent="0.3">
      <c r="A10" s="31">
        <v>9</v>
      </c>
      <c r="B10" s="33" t="s">
        <v>27</v>
      </c>
      <c r="C10" s="33" t="s">
        <v>12</v>
      </c>
      <c r="D10" s="17">
        <v>729420</v>
      </c>
      <c r="E10" s="7">
        <v>857230</v>
      </c>
      <c r="F10" s="17">
        <v>92884</v>
      </c>
      <c r="G10" s="17">
        <v>73</v>
      </c>
      <c r="H10" s="17">
        <v>87032</v>
      </c>
      <c r="I10" s="17">
        <v>44841</v>
      </c>
      <c r="J10" s="17">
        <v>47248</v>
      </c>
      <c r="K10" s="6">
        <v>2020</v>
      </c>
      <c r="L10" s="12">
        <f t="shared" si="0"/>
        <v>259286.5</v>
      </c>
    </row>
    <row r="11" spans="1:12" x14ac:dyDescent="0.3">
      <c r="A11" s="31">
        <v>10</v>
      </c>
      <c r="B11" s="33" t="s">
        <v>31</v>
      </c>
      <c r="C11" s="33" t="s">
        <v>12</v>
      </c>
      <c r="D11" s="17">
        <v>723750</v>
      </c>
      <c r="E11" s="7">
        <v>1000000</v>
      </c>
      <c r="F11" s="17">
        <v>89659</v>
      </c>
      <c r="G11" s="17">
        <v>73</v>
      </c>
      <c r="H11" s="17">
        <v>88009</v>
      </c>
      <c r="I11" s="17">
        <v>34389</v>
      </c>
      <c r="J11" s="17">
        <v>31158</v>
      </c>
      <c r="K11" s="6">
        <v>2020</v>
      </c>
      <c r="L11" s="12">
        <f t="shared" si="0"/>
        <v>294417</v>
      </c>
    </row>
    <row r="12" spans="1:12" x14ac:dyDescent="0.3">
      <c r="A12" s="31">
        <v>11</v>
      </c>
      <c r="B12" s="33" t="s">
        <v>16</v>
      </c>
      <c r="C12" s="33" t="s">
        <v>17</v>
      </c>
      <c r="D12" s="17">
        <v>723210</v>
      </c>
      <c r="E12" s="7">
        <v>847054</v>
      </c>
      <c r="F12" s="17">
        <v>92751</v>
      </c>
      <c r="G12" s="17">
        <v>74</v>
      </c>
      <c r="H12" s="17">
        <v>92897</v>
      </c>
      <c r="I12" s="17">
        <v>49407</v>
      </c>
      <c r="J12" s="17">
        <v>34035</v>
      </c>
      <c r="K12" s="6">
        <v>2020</v>
      </c>
      <c r="L12" s="12">
        <f t="shared" si="0"/>
        <v>258175.5</v>
      </c>
    </row>
    <row r="13" spans="1:12" x14ac:dyDescent="0.3">
      <c r="A13" s="31">
        <v>12</v>
      </c>
      <c r="B13" s="33" t="s">
        <v>22</v>
      </c>
      <c r="C13" s="33" t="s">
        <v>17</v>
      </c>
      <c r="D13" s="17">
        <v>722280</v>
      </c>
      <c r="E13" s="7">
        <v>852747</v>
      </c>
      <c r="F13" s="17">
        <v>95450</v>
      </c>
      <c r="G13" s="17">
        <v>74</v>
      </c>
      <c r="H13" s="17">
        <v>89702</v>
      </c>
      <c r="I13" s="17">
        <v>57032</v>
      </c>
      <c r="J13" s="17">
        <v>36980</v>
      </c>
      <c r="K13" s="6">
        <v>2020</v>
      </c>
      <c r="L13" s="12">
        <f t="shared" si="0"/>
        <v>259474.75</v>
      </c>
    </row>
    <row r="14" spans="1:12" x14ac:dyDescent="0.3">
      <c r="A14" s="31">
        <v>13</v>
      </c>
      <c r="B14" s="33" t="s">
        <v>35</v>
      </c>
      <c r="C14" s="33" t="s">
        <v>12</v>
      </c>
      <c r="D14" s="17">
        <v>716450</v>
      </c>
      <c r="E14" s="7">
        <v>828451</v>
      </c>
      <c r="F14" s="17">
        <v>94202</v>
      </c>
      <c r="G14" s="17">
        <v>72</v>
      </c>
      <c r="H14" s="17">
        <v>75752</v>
      </c>
      <c r="I14" s="17">
        <v>65536</v>
      </c>
      <c r="J14" s="17">
        <v>39493</v>
      </c>
      <c r="K14" s="6">
        <v>2020</v>
      </c>
      <c r="L14" s="12">
        <f t="shared" si="0"/>
        <v>249601.25</v>
      </c>
    </row>
    <row r="15" spans="1:12" x14ac:dyDescent="0.3">
      <c r="A15" s="31">
        <v>14</v>
      </c>
      <c r="B15" s="33" t="s">
        <v>23</v>
      </c>
      <c r="C15" s="33" t="s">
        <v>24</v>
      </c>
      <c r="D15" s="17">
        <v>712860</v>
      </c>
      <c r="E15" s="7">
        <v>791620</v>
      </c>
      <c r="F15" s="17">
        <v>90675</v>
      </c>
      <c r="G15" s="17">
        <v>73</v>
      </c>
      <c r="H15" s="17">
        <v>60683</v>
      </c>
      <c r="I15" s="17">
        <v>46833</v>
      </c>
      <c r="J15" s="17">
        <v>81263</v>
      </c>
      <c r="K15" s="6">
        <v>2020</v>
      </c>
      <c r="L15" s="12">
        <f t="shared" si="0"/>
        <v>235744.5</v>
      </c>
    </row>
    <row r="16" spans="1:12" x14ac:dyDescent="0.3">
      <c r="A16" s="31">
        <v>15</v>
      </c>
      <c r="B16" s="33" t="s">
        <v>25</v>
      </c>
      <c r="C16" s="33" t="s">
        <v>26</v>
      </c>
      <c r="D16" s="17">
        <v>712140</v>
      </c>
      <c r="E16" s="7">
        <v>638461</v>
      </c>
      <c r="F16" s="17">
        <v>88840</v>
      </c>
      <c r="G16" s="17">
        <v>71</v>
      </c>
      <c r="H16" s="17">
        <v>93040</v>
      </c>
      <c r="I16" s="17">
        <v>23037</v>
      </c>
      <c r="J16" s="17">
        <v>81926</v>
      </c>
      <c r="K16" s="6">
        <v>2020</v>
      </c>
      <c r="L16" s="12">
        <f t="shared" si="0"/>
        <v>205085.25</v>
      </c>
    </row>
    <row r="17" spans="1:12" x14ac:dyDescent="0.3">
      <c r="A17" s="31">
        <v>16</v>
      </c>
      <c r="B17" s="33" t="s">
        <v>32</v>
      </c>
      <c r="C17" s="33" t="s">
        <v>12</v>
      </c>
      <c r="D17" s="17">
        <v>709370</v>
      </c>
      <c r="E17" s="7">
        <v>941569</v>
      </c>
      <c r="F17" s="17">
        <v>95026</v>
      </c>
      <c r="G17" s="17">
        <v>72</v>
      </c>
      <c r="H17" s="17">
        <v>84784</v>
      </c>
      <c r="I17" s="17">
        <v>51846</v>
      </c>
      <c r="J17" s="17">
        <v>29959</v>
      </c>
      <c r="K17" s="6">
        <v>2020</v>
      </c>
      <c r="L17" s="12">
        <f t="shared" si="0"/>
        <v>280344.75</v>
      </c>
    </row>
    <row r="18" spans="1:12" x14ac:dyDescent="0.3">
      <c r="A18" s="31">
        <v>17</v>
      </c>
      <c r="B18" s="33" t="s">
        <v>41</v>
      </c>
      <c r="C18" s="33" t="s">
        <v>12</v>
      </c>
      <c r="D18" s="17">
        <v>707580</v>
      </c>
      <c r="E18" s="7">
        <v>855212</v>
      </c>
      <c r="F18" s="17">
        <v>88432</v>
      </c>
      <c r="G18" s="17">
        <v>72</v>
      </c>
      <c r="H18" s="17">
        <v>81393</v>
      </c>
      <c r="I18" s="17">
        <v>44232</v>
      </c>
      <c r="J18" s="17">
        <v>41976</v>
      </c>
      <c r="K18" s="6">
        <v>2020</v>
      </c>
      <c r="L18" s="12">
        <f t="shared" si="0"/>
        <v>256259.25</v>
      </c>
    </row>
    <row r="19" spans="1:12" x14ac:dyDescent="0.3">
      <c r="A19" s="31">
        <v>18</v>
      </c>
      <c r="B19" s="33" t="s">
        <v>29</v>
      </c>
      <c r="C19" s="33" t="s">
        <v>17</v>
      </c>
      <c r="D19" s="17">
        <v>693960</v>
      </c>
      <c r="E19" s="7">
        <v>894129</v>
      </c>
      <c r="F19" s="17">
        <v>90774</v>
      </c>
      <c r="G19" s="17">
        <v>68</v>
      </c>
      <c r="H19" s="17">
        <v>77114</v>
      </c>
      <c r="I19" s="17">
        <v>52323</v>
      </c>
      <c r="J19" s="17">
        <v>71437</v>
      </c>
      <c r="K19" s="6">
        <v>2020</v>
      </c>
      <c r="L19" s="12">
        <f t="shared" si="0"/>
        <v>265504.25</v>
      </c>
    </row>
    <row r="20" spans="1:12" x14ac:dyDescent="0.3">
      <c r="A20" s="31">
        <v>19</v>
      </c>
      <c r="B20" s="33" t="s">
        <v>193</v>
      </c>
      <c r="C20" s="33" t="s">
        <v>47</v>
      </c>
      <c r="D20" s="17">
        <v>691090</v>
      </c>
      <c r="E20" s="7">
        <v>788925</v>
      </c>
      <c r="F20" s="17">
        <v>90806</v>
      </c>
      <c r="G20" s="17">
        <v>70</v>
      </c>
      <c r="H20" s="17">
        <v>72951</v>
      </c>
      <c r="I20" s="17">
        <v>8130</v>
      </c>
      <c r="J20" s="17">
        <v>90659</v>
      </c>
      <c r="K20" s="6">
        <v>2020</v>
      </c>
      <c r="L20" s="12">
        <f t="shared" si="0"/>
        <v>238170.5</v>
      </c>
    </row>
    <row r="21" spans="1:12" x14ac:dyDescent="0.3">
      <c r="A21" s="31">
        <v>20</v>
      </c>
      <c r="B21" s="33" t="s">
        <v>33</v>
      </c>
      <c r="C21" s="33" t="s">
        <v>12</v>
      </c>
      <c r="D21" s="17">
        <v>686350</v>
      </c>
      <c r="E21" s="7">
        <v>843276</v>
      </c>
      <c r="F21" s="17">
        <v>90379</v>
      </c>
      <c r="G21" s="17">
        <v>72</v>
      </c>
      <c r="H21" s="17">
        <v>72094</v>
      </c>
      <c r="I21" s="17">
        <v>25792</v>
      </c>
      <c r="J21" s="17">
        <v>60852</v>
      </c>
      <c r="K21" s="6">
        <v>2020</v>
      </c>
      <c r="L21" s="12">
        <f t="shared" si="0"/>
        <v>251437.25</v>
      </c>
    </row>
    <row r="22" spans="1:12" x14ac:dyDescent="0.3">
      <c r="A22" s="31">
        <v>21</v>
      </c>
      <c r="B22" s="33" t="s">
        <v>34</v>
      </c>
      <c r="C22" s="33" t="s">
        <v>24</v>
      </c>
      <c r="D22" s="17">
        <v>679080</v>
      </c>
      <c r="E22" s="7">
        <v>931287</v>
      </c>
      <c r="F22" s="17">
        <v>80848</v>
      </c>
      <c r="G22" s="17">
        <v>67</v>
      </c>
      <c r="H22" s="17">
        <v>94182</v>
      </c>
      <c r="I22" s="17">
        <v>49254</v>
      </c>
      <c r="J22" s="17">
        <v>58697</v>
      </c>
      <c r="K22" s="6">
        <v>2020</v>
      </c>
      <c r="L22" s="12">
        <f t="shared" si="0"/>
        <v>276579.25</v>
      </c>
    </row>
    <row r="23" spans="1:12" x14ac:dyDescent="0.3">
      <c r="A23" s="31">
        <v>22</v>
      </c>
      <c r="B23" s="33" t="s">
        <v>53</v>
      </c>
      <c r="C23" s="33" t="s">
        <v>12</v>
      </c>
      <c r="D23" s="17">
        <v>677280</v>
      </c>
      <c r="E23" s="7">
        <v>815080</v>
      </c>
      <c r="F23" s="17">
        <v>93240</v>
      </c>
      <c r="G23" s="17">
        <v>72</v>
      </c>
      <c r="H23" s="17">
        <v>91341</v>
      </c>
      <c r="I23" s="17">
        <v>59876</v>
      </c>
      <c r="J23" s="17">
        <v>66452</v>
      </c>
      <c r="K23" s="6">
        <v>2020</v>
      </c>
      <c r="L23" s="12">
        <f t="shared" si="0"/>
        <v>249915.25</v>
      </c>
    </row>
    <row r="24" spans="1:12" x14ac:dyDescent="0.3">
      <c r="A24" s="31">
        <v>23</v>
      </c>
      <c r="B24" s="33" t="s">
        <v>44</v>
      </c>
      <c r="C24" s="33" t="s">
        <v>12</v>
      </c>
      <c r="D24" s="17">
        <v>666380</v>
      </c>
      <c r="E24" s="7">
        <v>825242</v>
      </c>
      <c r="F24" s="17">
        <v>94267</v>
      </c>
      <c r="G24" s="17">
        <v>74</v>
      </c>
      <c r="H24" s="17">
        <v>74149</v>
      </c>
      <c r="I24" s="17">
        <v>19762</v>
      </c>
      <c r="J24" s="17">
        <v>57367</v>
      </c>
      <c r="K24" s="6">
        <v>2020</v>
      </c>
      <c r="L24" s="12">
        <f t="shared" si="0"/>
        <v>248414.5</v>
      </c>
    </row>
    <row r="25" spans="1:12" x14ac:dyDescent="0.3">
      <c r="A25" s="31">
        <v>24</v>
      </c>
      <c r="B25" s="33" t="s">
        <v>28</v>
      </c>
      <c r="C25" s="33" t="s">
        <v>26</v>
      </c>
      <c r="D25" s="17">
        <v>646500</v>
      </c>
      <c r="E25" s="7">
        <v>666626</v>
      </c>
      <c r="F25" s="17">
        <v>79243</v>
      </c>
      <c r="G25" s="17">
        <v>68</v>
      </c>
      <c r="H25" s="17">
        <v>79896</v>
      </c>
      <c r="I25" s="17">
        <v>14583</v>
      </c>
      <c r="J25" s="17">
        <v>84407</v>
      </c>
      <c r="K25" s="6">
        <v>2020</v>
      </c>
      <c r="L25" s="12">
        <f t="shared" si="0"/>
        <v>206441.25</v>
      </c>
    </row>
    <row r="26" spans="1:12" x14ac:dyDescent="0.3">
      <c r="A26" s="31">
        <v>25</v>
      </c>
      <c r="B26" s="33" t="s">
        <v>184</v>
      </c>
      <c r="C26" s="33" t="s">
        <v>55</v>
      </c>
      <c r="D26" s="17">
        <v>645540</v>
      </c>
      <c r="E26" s="7">
        <v>863858</v>
      </c>
      <c r="F26" s="17">
        <v>87735</v>
      </c>
      <c r="G26" s="17">
        <v>70</v>
      </c>
      <c r="H26" s="17">
        <v>64824</v>
      </c>
      <c r="I26" s="17">
        <v>26429</v>
      </c>
      <c r="J26" s="17">
        <v>75333</v>
      </c>
      <c r="K26" s="6">
        <v>2020</v>
      </c>
      <c r="L26" s="12">
        <f t="shared" si="0"/>
        <v>254104.25</v>
      </c>
    </row>
    <row r="27" spans="1:12" x14ac:dyDescent="0.3">
      <c r="A27" s="31">
        <v>26</v>
      </c>
      <c r="B27" s="33" t="s">
        <v>48</v>
      </c>
      <c r="C27" s="33" t="s">
        <v>26</v>
      </c>
      <c r="D27" s="17">
        <v>644010</v>
      </c>
      <c r="E27" s="7">
        <v>696959</v>
      </c>
      <c r="F27" s="17">
        <v>92085</v>
      </c>
      <c r="G27" s="17">
        <v>69</v>
      </c>
      <c r="H27" s="17">
        <v>85719</v>
      </c>
      <c r="I27" s="17">
        <v>23191</v>
      </c>
      <c r="J27" s="17">
        <v>63721</v>
      </c>
      <c r="K27" s="6">
        <v>2020</v>
      </c>
      <c r="L27" s="12">
        <f t="shared" si="0"/>
        <v>218690.75</v>
      </c>
    </row>
    <row r="28" spans="1:12" x14ac:dyDescent="0.3">
      <c r="A28" s="31">
        <v>27</v>
      </c>
      <c r="B28" s="33" t="s">
        <v>51</v>
      </c>
      <c r="C28" s="33" t="s">
        <v>24</v>
      </c>
      <c r="D28" s="17">
        <v>640650</v>
      </c>
      <c r="E28" s="7">
        <v>868321</v>
      </c>
      <c r="F28" s="17">
        <v>84646</v>
      </c>
      <c r="G28" s="17">
        <v>66</v>
      </c>
      <c r="H28" s="17">
        <v>79115</v>
      </c>
      <c r="I28" s="17">
        <v>15345</v>
      </c>
      <c r="J28" s="17">
        <v>69367</v>
      </c>
      <c r="K28" s="6">
        <v>2020</v>
      </c>
      <c r="L28" s="12">
        <f t="shared" si="0"/>
        <v>258020.5</v>
      </c>
    </row>
    <row r="29" spans="1:12" x14ac:dyDescent="0.3">
      <c r="A29" s="31">
        <v>28</v>
      </c>
      <c r="B29" s="33" t="s">
        <v>52</v>
      </c>
      <c r="C29" s="33" t="s">
        <v>12</v>
      </c>
      <c r="D29" s="17">
        <v>640090</v>
      </c>
      <c r="E29" s="7">
        <v>800777</v>
      </c>
      <c r="F29" s="17">
        <v>91828</v>
      </c>
      <c r="G29" s="17">
        <v>74</v>
      </c>
      <c r="H29" s="17">
        <v>61446</v>
      </c>
      <c r="I29" s="17">
        <v>29010</v>
      </c>
      <c r="J29" s="17">
        <v>79447</v>
      </c>
      <c r="K29" s="6">
        <v>2020</v>
      </c>
      <c r="L29" s="12">
        <f t="shared" si="0"/>
        <v>238512.75</v>
      </c>
    </row>
    <row r="30" spans="1:12" x14ac:dyDescent="0.3">
      <c r="A30" s="31">
        <v>29</v>
      </c>
      <c r="B30" s="33" t="s">
        <v>60</v>
      </c>
      <c r="C30" s="33" t="s">
        <v>26</v>
      </c>
      <c r="D30" s="17">
        <v>639890</v>
      </c>
      <c r="E30" s="7">
        <v>490550</v>
      </c>
      <c r="F30" s="17">
        <v>75878</v>
      </c>
      <c r="G30" s="17">
        <v>65</v>
      </c>
      <c r="H30" s="17">
        <v>88443</v>
      </c>
      <c r="I30" s="17">
        <v>29942</v>
      </c>
      <c r="J30" s="17">
        <v>81552</v>
      </c>
      <c r="K30" s="6">
        <v>2020</v>
      </c>
      <c r="L30" s="12">
        <f t="shared" si="0"/>
        <v>163717.75</v>
      </c>
    </row>
    <row r="31" spans="1:12" x14ac:dyDescent="0.3">
      <c r="A31" s="31">
        <v>30</v>
      </c>
      <c r="B31" s="33" t="s">
        <v>68</v>
      </c>
      <c r="C31" s="33" t="s">
        <v>12</v>
      </c>
      <c r="D31" s="17">
        <v>638740</v>
      </c>
      <c r="E31" s="7">
        <v>804591</v>
      </c>
      <c r="F31" s="17">
        <v>87059</v>
      </c>
      <c r="G31" s="17">
        <v>74</v>
      </c>
      <c r="H31" s="17">
        <v>46346</v>
      </c>
      <c r="I31" s="17">
        <v>29881</v>
      </c>
      <c r="J31" s="17">
        <v>92470</v>
      </c>
      <c r="K31" s="6">
        <v>2020</v>
      </c>
      <c r="L31" s="12">
        <f t="shared" si="0"/>
        <v>234499</v>
      </c>
    </row>
    <row r="32" spans="1:12" x14ac:dyDescent="0.3">
      <c r="A32" s="31">
        <v>31</v>
      </c>
      <c r="B32" s="33" t="s">
        <v>38</v>
      </c>
      <c r="C32" s="33" t="s">
        <v>39</v>
      </c>
      <c r="D32" s="17">
        <v>637710</v>
      </c>
      <c r="E32" s="7">
        <v>988875</v>
      </c>
      <c r="F32" s="17">
        <v>90171</v>
      </c>
      <c r="G32" s="17">
        <v>77</v>
      </c>
      <c r="H32" s="17">
        <v>91641</v>
      </c>
      <c r="I32" s="17">
        <v>38393</v>
      </c>
      <c r="J32" s="17">
        <v>100000</v>
      </c>
      <c r="K32" s="6">
        <v>2020</v>
      </c>
      <c r="L32" s="12">
        <f t="shared" si="0"/>
        <v>292671.75</v>
      </c>
    </row>
    <row r="33" spans="1:12" x14ac:dyDescent="0.3">
      <c r="A33" s="31">
        <v>32</v>
      </c>
      <c r="B33" s="33" t="s">
        <v>30</v>
      </c>
      <c r="C33" s="33" t="s">
        <v>26</v>
      </c>
      <c r="D33" s="17">
        <v>637560</v>
      </c>
      <c r="E33" s="7">
        <v>619961</v>
      </c>
      <c r="F33" s="17">
        <v>88104</v>
      </c>
      <c r="G33" s="17">
        <v>66</v>
      </c>
      <c r="H33" s="17">
        <v>69712</v>
      </c>
      <c r="I33" s="17">
        <v>23108</v>
      </c>
      <c r="J33" s="17">
        <v>80021</v>
      </c>
      <c r="K33" s="6">
        <v>2020</v>
      </c>
      <c r="L33" s="12">
        <f t="shared" si="0"/>
        <v>194444.25</v>
      </c>
    </row>
    <row r="34" spans="1:12" x14ac:dyDescent="0.3">
      <c r="A34" s="31">
        <v>33</v>
      </c>
      <c r="B34" s="33" t="s">
        <v>73</v>
      </c>
      <c r="C34" s="33" t="s">
        <v>47</v>
      </c>
      <c r="D34" s="17">
        <v>636340</v>
      </c>
      <c r="E34" s="7">
        <v>786537</v>
      </c>
      <c r="F34" s="17">
        <v>94644</v>
      </c>
      <c r="G34" s="17">
        <v>71</v>
      </c>
      <c r="H34" s="17">
        <v>93283</v>
      </c>
      <c r="I34" s="17">
        <v>25570</v>
      </c>
      <c r="J34" s="17">
        <v>85649</v>
      </c>
      <c r="K34" s="6">
        <v>2020</v>
      </c>
      <c r="L34" s="12">
        <f t="shared" si="0"/>
        <v>243616</v>
      </c>
    </row>
    <row r="35" spans="1:12" x14ac:dyDescent="0.3">
      <c r="A35" s="31">
        <v>34</v>
      </c>
      <c r="B35" s="33" t="s">
        <v>59</v>
      </c>
      <c r="C35" s="33" t="s">
        <v>26</v>
      </c>
      <c r="D35" s="17">
        <v>634830</v>
      </c>
      <c r="E35" s="7">
        <v>487377</v>
      </c>
      <c r="F35" s="17">
        <v>74271</v>
      </c>
      <c r="G35" s="17">
        <v>66</v>
      </c>
      <c r="H35" s="17">
        <v>75590</v>
      </c>
      <c r="I35" s="17">
        <v>20873</v>
      </c>
      <c r="J35" s="17">
        <v>78050</v>
      </c>
      <c r="K35" s="6">
        <v>2020</v>
      </c>
      <c r="L35" s="12">
        <f t="shared" si="0"/>
        <v>159309.5</v>
      </c>
    </row>
    <row r="36" spans="1:12" x14ac:dyDescent="0.3">
      <c r="A36" s="31">
        <v>35</v>
      </c>
      <c r="B36" s="33" t="s">
        <v>87</v>
      </c>
      <c r="C36" s="33" t="s">
        <v>47</v>
      </c>
      <c r="D36" s="17">
        <v>632520</v>
      </c>
      <c r="E36" s="7">
        <v>546948</v>
      </c>
      <c r="F36" s="17">
        <v>76505</v>
      </c>
      <c r="G36" s="17">
        <v>64</v>
      </c>
      <c r="H36" s="17">
        <v>80384</v>
      </c>
      <c r="I36" s="17">
        <v>57087</v>
      </c>
      <c r="J36" s="17">
        <v>98395</v>
      </c>
      <c r="K36" s="6">
        <v>2020</v>
      </c>
      <c r="L36" s="12">
        <f t="shared" si="0"/>
        <v>175959.25</v>
      </c>
    </row>
    <row r="37" spans="1:12" x14ac:dyDescent="0.3">
      <c r="A37" s="31">
        <v>36</v>
      </c>
      <c r="B37" s="33" t="s">
        <v>40</v>
      </c>
      <c r="C37" s="33" t="s">
        <v>26</v>
      </c>
      <c r="D37" s="17">
        <v>630480</v>
      </c>
      <c r="E37" s="7">
        <v>714313</v>
      </c>
      <c r="F37" s="17">
        <v>88923</v>
      </c>
      <c r="G37" s="17">
        <v>70</v>
      </c>
      <c r="H37" s="17">
        <v>83640</v>
      </c>
      <c r="I37" s="17">
        <v>17059</v>
      </c>
      <c r="J37" s="17">
        <v>89829</v>
      </c>
      <c r="K37" s="6">
        <v>2020</v>
      </c>
      <c r="L37" s="12">
        <f t="shared" si="0"/>
        <v>221719</v>
      </c>
    </row>
    <row r="38" spans="1:12" x14ac:dyDescent="0.3">
      <c r="A38" s="31">
        <v>37</v>
      </c>
      <c r="B38" s="33" t="s">
        <v>63</v>
      </c>
      <c r="C38" s="33" t="s">
        <v>47</v>
      </c>
      <c r="D38" s="17">
        <v>628060</v>
      </c>
      <c r="E38" s="7">
        <v>777547</v>
      </c>
      <c r="F38" s="17">
        <v>92037</v>
      </c>
      <c r="G38" s="17">
        <v>69</v>
      </c>
      <c r="H38" s="17">
        <v>61093</v>
      </c>
      <c r="I38" s="17">
        <v>20486</v>
      </c>
      <c r="J38" s="17">
        <v>97882</v>
      </c>
      <c r="K38" s="6">
        <v>2020</v>
      </c>
      <c r="L38" s="12">
        <f t="shared" si="0"/>
        <v>232669.25</v>
      </c>
    </row>
    <row r="39" spans="1:12" x14ac:dyDescent="0.3">
      <c r="A39" s="31">
        <v>38</v>
      </c>
      <c r="B39" s="33" t="s">
        <v>61</v>
      </c>
      <c r="C39" s="33" t="s">
        <v>62</v>
      </c>
      <c r="D39" s="17">
        <v>625760</v>
      </c>
      <c r="E39" s="7">
        <v>453351</v>
      </c>
      <c r="F39" s="17">
        <v>92663</v>
      </c>
      <c r="G39" s="17">
        <v>65</v>
      </c>
      <c r="H39" s="17">
        <v>100000</v>
      </c>
      <c r="I39" s="17">
        <v>63760</v>
      </c>
      <c r="J39" s="17">
        <v>47434</v>
      </c>
      <c r="K39" s="6">
        <v>2020</v>
      </c>
      <c r="L39" s="12">
        <f t="shared" si="0"/>
        <v>161503.5</v>
      </c>
    </row>
    <row r="40" spans="1:12" x14ac:dyDescent="0.3">
      <c r="A40" s="31">
        <v>39</v>
      </c>
      <c r="B40" s="33" t="s">
        <v>42</v>
      </c>
      <c r="C40" s="33" t="s">
        <v>26</v>
      </c>
      <c r="D40" s="17">
        <v>622850</v>
      </c>
      <c r="E40" s="7">
        <v>713874</v>
      </c>
      <c r="F40" s="17">
        <v>85508</v>
      </c>
      <c r="G40" s="17">
        <v>70</v>
      </c>
      <c r="H40" s="17">
        <v>60219</v>
      </c>
      <c r="I40" s="17">
        <v>27303</v>
      </c>
      <c r="J40" s="17">
        <v>88212</v>
      </c>
      <c r="K40" s="6">
        <v>2020</v>
      </c>
      <c r="L40" s="12">
        <f t="shared" si="0"/>
        <v>214900.25</v>
      </c>
    </row>
    <row r="41" spans="1:12" x14ac:dyDescent="0.3">
      <c r="A41" s="31">
        <v>40</v>
      </c>
      <c r="B41" s="33" t="s">
        <v>67</v>
      </c>
      <c r="C41" s="33" t="s">
        <v>24</v>
      </c>
      <c r="D41" s="17">
        <v>622730</v>
      </c>
      <c r="E41" s="7">
        <v>843829</v>
      </c>
      <c r="F41" s="17">
        <v>84993</v>
      </c>
      <c r="G41" s="17">
        <v>69</v>
      </c>
      <c r="H41" s="17">
        <v>88046</v>
      </c>
      <c r="I41" s="17">
        <v>50447</v>
      </c>
      <c r="J41" s="17">
        <v>76237</v>
      </c>
      <c r="K41" s="6">
        <v>2020</v>
      </c>
      <c r="L41" s="12">
        <f t="shared" si="0"/>
        <v>254217</v>
      </c>
    </row>
    <row r="42" spans="1:12" x14ac:dyDescent="0.3">
      <c r="A42" s="31">
        <v>41</v>
      </c>
      <c r="B42" s="33" t="s">
        <v>74</v>
      </c>
      <c r="C42" s="33" t="s">
        <v>12</v>
      </c>
      <c r="D42" s="17">
        <v>621550</v>
      </c>
      <c r="E42" s="7">
        <v>776715</v>
      </c>
      <c r="F42" s="17">
        <v>92588</v>
      </c>
      <c r="G42" s="17">
        <v>67</v>
      </c>
      <c r="H42" s="17">
        <v>60649</v>
      </c>
      <c r="I42" s="17">
        <v>9423</v>
      </c>
      <c r="J42" s="17">
        <v>84742</v>
      </c>
      <c r="K42" s="6">
        <v>2020</v>
      </c>
      <c r="L42" s="12">
        <f t="shared" si="0"/>
        <v>232488</v>
      </c>
    </row>
    <row r="43" spans="1:12" x14ac:dyDescent="0.3">
      <c r="A43" s="31">
        <v>42</v>
      </c>
      <c r="B43" s="33" t="s">
        <v>58</v>
      </c>
      <c r="C43" s="33" t="s">
        <v>26</v>
      </c>
      <c r="D43" s="17">
        <v>619190</v>
      </c>
      <c r="E43" s="7">
        <v>759849</v>
      </c>
      <c r="F43" s="17">
        <v>90938</v>
      </c>
      <c r="G43" s="17">
        <v>64</v>
      </c>
      <c r="H43" s="17">
        <v>79757</v>
      </c>
      <c r="I43" s="17">
        <v>34987</v>
      </c>
      <c r="J43" s="17">
        <v>97172</v>
      </c>
      <c r="K43" s="6">
        <v>2020</v>
      </c>
      <c r="L43" s="12">
        <f t="shared" si="0"/>
        <v>232636</v>
      </c>
    </row>
    <row r="44" spans="1:12" x14ac:dyDescent="0.3">
      <c r="A44" s="31">
        <v>43</v>
      </c>
      <c r="B44" s="33" t="s">
        <v>78</v>
      </c>
      <c r="C44" s="33" t="s">
        <v>47</v>
      </c>
      <c r="D44" s="17">
        <v>618630</v>
      </c>
      <c r="E44" s="7">
        <v>760882</v>
      </c>
      <c r="F44" s="17">
        <v>84675</v>
      </c>
      <c r="G44" s="17">
        <v>69</v>
      </c>
      <c r="H44" s="17">
        <v>80474</v>
      </c>
      <c r="I44" s="17">
        <v>11122</v>
      </c>
      <c r="J44" s="17">
        <v>69889</v>
      </c>
      <c r="K44" s="6">
        <v>2020</v>
      </c>
      <c r="L44" s="12">
        <f t="shared" si="0"/>
        <v>231507.75</v>
      </c>
    </row>
    <row r="45" spans="1:12" x14ac:dyDescent="0.3">
      <c r="A45" s="31">
        <v>44</v>
      </c>
      <c r="B45" s="33" t="s">
        <v>49</v>
      </c>
      <c r="C45" s="33" t="s">
        <v>26</v>
      </c>
      <c r="D45" s="17">
        <v>616340</v>
      </c>
      <c r="E45" s="7">
        <v>606636</v>
      </c>
      <c r="F45" s="17">
        <v>86229</v>
      </c>
      <c r="G45" s="17">
        <v>68</v>
      </c>
      <c r="H45" s="17">
        <v>76001</v>
      </c>
      <c r="I45" s="17">
        <v>16211</v>
      </c>
      <c r="J45" s="17">
        <v>91401</v>
      </c>
      <c r="K45" s="6">
        <v>2020</v>
      </c>
      <c r="L45" s="12">
        <f t="shared" si="0"/>
        <v>192216.5</v>
      </c>
    </row>
    <row r="46" spans="1:12" x14ac:dyDescent="0.3">
      <c r="A46" s="31">
        <v>45</v>
      </c>
      <c r="B46" s="33" t="s">
        <v>85</v>
      </c>
      <c r="C46" s="33" t="s">
        <v>12</v>
      </c>
      <c r="D46" s="17">
        <v>615900</v>
      </c>
      <c r="E46" s="7">
        <v>789236</v>
      </c>
      <c r="F46" s="17">
        <v>74257</v>
      </c>
      <c r="G46" s="17">
        <v>74</v>
      </c>
      <c r="H46" s="17">
        <v>66264</v>
      </c>
      <c r="I46" s="17">
        <v>40001</v>
      </c>
      <c r="J46" s="17">
        <v>90396</v>
      </c>
      <c r="K46" s="6">
        <v>2020</v>
      </c>
      <c r="L46" s="12">
        <f t="shared" si="0"/>
        <v>232439.25</v>
      </c>
    </row>
    <row r="47" spans="1:12" x14ac:dyDescent="0.3">
      <c r="A47" s="31">
        <v>46</v>
      </c>
      <c r="B47" s="33" t="s">
        <v>75</v>
      </c>
      <c r="C47" s="33" t="s">
        <v>26</v>
      </c>
      <c r="D47" s="17">
        <v>613710</v>
      </c>
      <c r="E47" s="7">
        <v>403490</v>
      </c>
      <c r="F47" s="17">
        <v>82117</v>
      </c>
      <c r="G47" s="17">
        <v>68</v>
      </c>
      <c r="H47" s="17">
        <v>80793</v>
      </c>
      <c r="I47" s="17">
        <v>37358</v>
      </c>
      <c r="J47" s="17">
        <v>67349</v>
      </c>
      <c r="K47" s="6">
        <v>2020</v>
      </c>
      <c r="L47" s="12">
        <f t="shared" si="0"/>
        <v>141600</v>
      </c>
    </row>
    <row r="48" spans="1:12" x14ac:dyDescent="0.3">
      <c r="A48" s="31">
        <v>47</v>
      </c>
      <c r="B48" s="33" t="s">
        <v>106</v>
      </c>
      <c r="C48" s="33" t="s">
        <v>47</v>
      </c>
      <c r="D48" s="17">
        <v>612370</v>
      </c>
      <c r="E48" s="7">
        <v>729107</v>
      </c>
      <c r="F48" s="17">
        <v>77182</v>
      </c>
      <c r="G48" s="17">
        <v>67</v>
      </c>
      <c r="H48" s="17">
        <v>77149</v>
      </c>
      <c r="I48" s="17">
        <v>11966</v>
      </c>
      <c r="J48" s="17">
        <v>99844</v>
      </c>
      <c r="K48" s="6">
        <v>2020</v>
      </c>
      <c r="L48" s="12">
        <f t="shared" si="0"/>
        <v>220859.5</v>
      </c>
    </row>
    <row r="49" spans="1:12" x14ac:dyDescent="0.3">
      <c r="A49" s="31">
        <v>48</v>
      </c>
      <c r="B49" s="33" t="s">
        <v>56</v>
      </c>
      <c r="C49" s="33" t="s">
        <v>24</v>
      </c>
      <c r="D49" s="17">
        <v>610210</v>
      </c>
      <c r="E49" s="7">
        <v>927218</v>
      </c>
      <c r="F49" s="17">
        <v>80435</v>
      </c>
      <c r="G49" s="17">
        <v>67</v>
      </c>
      <c r="H49" s="17">
        <v>82257</v>
      </c>
      <c r="I49" s="17">
        <v>23297</v>
      </c>
      <c r="J49" s="17">
        <v>78840</v>
      </c>
      <c r="K49" s="6">
        <v>2020</v>
      </c>
      <c r="L49" s="12">
        <f t="shared" si="0"/>
        <v>272477.5</v>
      </c>
    </row>
    <row r="50" spans="1:12" x14ac:dyDescent="0.3">
      <c r="A50" s="31">
        <v>49</v>
      </c>
      <c r="B50" s="33" t="s">
        <v>89</v>
      </c>
      <c r="C50" s="33" t="s">
        <v>90</v>
      </c>
      <c r="D50" s="17">
        <v>610130</v>
      </c>
      <c r="E50" s="7">
        <v>698692</v>
      </c>
      <c r="F50" s="17">
        <v>90185</v>
      </c>
      <c r="G50" s="17">
        <v>66</v>
      </c>
      <c r="H50" s="17">
        <v>85225</v>
      </c>
      <c r="I50" s="17">
        <v>32799</v>
      </c>
      <c r="J50" s="17">
        <v>84228</v>
      </c>
      <c r="K50" s="6">
        <v>2020</v>
      </c>
      <c r="L50" s="12">
        <f t="shared" si="0"/>
        <v>218525.5</v>
      </c>
    </row>
    <row r="51" spans="1:12" x14ac:dyDescent="0.3">
      <c r="A51" s="31">
        <v>50</v>
      </c>
      <c r="B51" s="33" t="s">
        <v>72</v>
      </c>
      <c r="C51" s="33" t="s">
        <v>62</v>
      </c>
      <c r="D51" s="17">
        <v>605790</v>
      </c>
      <c r="E51" s="7">
        <v>730534</v>
      </c>
      <c r="F51" s="17">
        <v>93907</v>
      </c>
      <c r="G51" s="17">
        <v>65</v>
      </c>
      <c r="H51" s="17">
        <v>71752</v>
      </c>
      <c r="I51" s="17">
        <v>26976</v>
      </c>
      <c r="J51" s="17">
        <v>79281</v>
      </c>
      <c r="K51" s="6">
        <v>2020</v>
      </c>
      <c r="L51" s="12">
        <f t="shared" si="0"/>
        <v>224048.25</v>
      </c>
    </row>
    <row r="52" spans="1:12" x14ac:dyDescent="0.3">
      <c r="A52" s="31">
        <v>51</v>
      </c>
      <c r="B52" s="33" t="s">
        <v>92</v>
      </c>
      <c r="C52" s="33" t="s">
        <v>12</v>
      </c>
      <c r="D52" s="17">
        <v>602180</v>
      </c>
      <c r="E52" s="7">
        <v>775987</v>
      </c>
      <c r="F52" s="17">
        <v>93904</v>
      </c>
      <c r="G52" s="17">
        <v>69</v>
      </c>
      <c r="H52" s="17">
        <v>83180</v>
      </c>
      <c r="I52" s="17">
        <v>21961</v>
      </c>
      <c r="J52" s="17">
        <v>62157</v>
      </c>
      <c r="K52" s="6">
        <v>2020</v>
      </c>
      <c r="L52" s="12">
        <f t="shared" si="0"/>
        <v>238267.75</v>
      </c>
    </row>
    <row r="53" spans="1:12" x14ac:dyDescent="0.3">
      <c r="A53" s="31">
        <v>52</v>
      </c>
      <c r="B53" s="33" t="s">
        <v>110</v>
      </c>
      <c r="C53" s="33" t="s">
        <v>39</v>
      </c>
      <c r="D53" s="17">
        <v>600600</v>
      </c>
      <c r="E53" s="7">
        <v>504414</v>
      </c>
      <c r="F53" s="17">
        <v>80474</v>
      </c>
      <c r="G53" s="17">
        <v>62</v>
      </c>
      <c r="H53" s="17">
        <v>89707</v>
      </c>
      <c r="I53" s="17">
        <v>22685</v>
      </c>
      <c r="J53" s="17">
        <v>75545</v>
      </c>
      <c r="K53" s="6">
        <v>2020</v>
      </c>
      <c r="L53" s="12">
        <f t="shared" si="0"/>
        <v>168648.75</v>
      </c>
    </row>
    <row r="54" spans="1:12" x14ac:dyDescent="0.3">
      <c r="A54" s="31">
        <v>53</v>
      </c>
      <c r="B54" s="33" t="s">
        <v>124</v>
      </c>
      <c r="C54" s="33" t="s">
        <v>47</v>
      </c>
      <c r="D54" s="17">
        <v>600040</v>
      </c>
      <c r="E54" s="7">
        <v>757679</v>
      </c>
      <c r="F54" s="17">
        <v>91951</v>
      </c>
      <c r="G54" s="17">
        <v>68</v>
      </c>
      <c r="H54" s="17">
        <v>55736</v>
      </c>
      <c r="I54" s="17">
        <v>12371</v>
      </c>
      <c r="J54" s="17">
        <v>94833</v>
      </c>
      <c r="K54" s="6">
        <v>2020</v>
      </c>
      <c r="L54" s="12">
        <f t="shared" si="0"/>
        <v>226341.5</v>
      </c>
    </row>
    <row r="55" spans="1:12" x14ac:dyDescent="0.3">
      <c r="A55" s="31">
        <v>54</v>
      </c>
      <c r="B55" s="33" t="s">
        <v>50</v>
      </c>
      <c r="C55" s="33" t="s">
        <v>39</v>
      </c>
      <c r="D55" s="17">
        <v>599880</v>
      </c>
      <c r="E55" s="7">
        <v>655330</v>
      </c>
      <c r="F55" s="17">
        <v>87073</v>
      </c>
      <c r="G55" s="17">
        <v>67</v>
      </c>
      <c r="H55" s="17">
        <v>87909</v>
      </c>
      <c r="I55" s="17">
        <v>66111</v>
      </c>
      <c r="J55" s="17">
        <v>94028</v>
      </c>
      <c r="K55" s="6">
        <v>2020</v>
      </c>
      <c r="L55" s="12">
        <f t="shared" si="0"/>
        <v>207578</v>
      </c>
    </row>
    <row r="56" spans="1:12" x14ac:dyDescent="0.3">
      <c r="A56" s="31">
        <v>55</v>
      </c>
      <c r="B56" s="33" t="s">
        <v>45</v>
      </c>
      <c r="C56" s="33" t="s">
        <v>26</v>
      </c>
      <c r="D56" s="17">
        <v>597470</v>
      </c>
      <c r="E56" s="7">
        <v>669279</v>
      </c>
      <c r="F56" s="17">
        <v>88690</v>
      </c>
      <c r="G56" s="17">
        <v>69</v>
      </c>
      <c r="H56" s="17">
        <v>75128</v>
      </c>
      <c r="I56" s="17">
        <v>12302</v>
      </c>
      <c r="J56" s="17">
        <v>88669</v>
      </c>
      <c r="K56" s="6">
        <v>2020</v>
      </c>
      <c r="L56" s="12">
        <f t="shared" si="0"/>
        <v>208274.25</v>
      </c>
    </row>
    <row r="57" spans="1:12" x14ac:dyDescent="0.3">
      <c r="A57" s="31">
        <v>56</v>
      </c>
      <c r="B57" s="33" t="s">
        <v>125</v>
      </c>
      <c r="C57" s="33" t="s">
        <v>26</v>
      </c>
      <c r="D57" s="17">
        <v>595320</v>
      </c>
      <c r="E57" s="7">
        <v>389649</v>
      </c>
      <c r="F57" s="17">
        <v>76679</v>
      </c>
      <c r="G57" s="17">
        <v>67</v>
      </c>
      <c r="H57" s="17">
        <v>81952</v>
      </c>
      <c r="I57" s="17">
        <v>45020</v>
      </c>
      <c r="J57" s="17">
        <v>83718</v>
      </c>
      <c r="K57" s="6">
        <v>2020</v>
      </c>
      <c r="L57" s="12">
        <f t="shared" si="0"/>
        <v>137070</v>
      </c>
    </row>
    <row r="58" spans="1:12" x14ac:dyDescent="0.3">
      <c r="A58" s="31">
        <v>57</v>
      </c>
      <c r="B58" s="33" t="s">
        <v>109</v>
      </c>
      <c r="C58" s="33" t="s">
        <v>12</v>
      </c>
      <c r="D58" s="17">
        <v>595000</v>
      </c>
      <c r="E58" s="7">
        <v>742769</v>
      </c>
      <c r="F58" s="17">
        <v>91395</v>
      </c>
      <c r="G58" s="17">
        <v>67</v>
      </c>
      <c r="H58" s="17">
        <v>47485</v>
      </c>
      <c r="I58" s="17">
        <v>13234</v>
      </c>
      <c r="J58" s="17">
        <v>83046</v>
      </c>
      <c r="K58" s="6">
        <v>2020</v>
      </c>
      <c r="L58" s="12">
        <f t="shared" si="0"/>
        <v>220412.25</v>
      </c>
    </row>
    <row r="59" spans="1:12" x14ac:dyDescent="0.3">
      <c r="A59" s="31">
        <v>58</v>
      </c>
      <c r="B59" s="33" t="s">
        <v>66</v>
      </c>
      <c r="C59" s="33" t="s">
        <v>26</v>
      </c>
      <c r="D59" s="17">
        <v>592520</v>
      </c>
      <c r="E59" s="7">
        <v>555344</v>
      </c>
      <c r="F59" s="17">
        <v>78900</v>
      </c>
      <c r="G59" s="17">
        <v>69</v>
      </c>
      <c r="H59" s="17">
        <v>80089</v>
      </c>
      <c r="I59" s="17">
        <v>20183</v>
      </c>
      <c r="J59" s="17">
        <v>83729</v>
      </c>
      <c r="K59" s="6">
        <v>2020</v>
      </c>
      <c r="L59" s="12">
        <f t="shared" si="0"/>
        <v>178583.25</v>
      </c>
    </row>
    <row r="60" spans="1:12" x14ac:dyDescent="0.3">
      <c r="A60" s="31">
        <v>59</v>
      </c>
      <c r="B60" s="33" t="s">
        <v>108</v>
      </c>
      <c r="C60" s="33" t="s">
        <v>12</v>
      </c>
      <c r="D60" s="17">
        <v>591090</v>
      </c>
      <c r="E60" s="7">
        <v>760603</v>
      </c>
      <c r="F60" s="17">
        <v>86557</v>
      </c>
      <c r="G60" s="17">
        <v>72</v>
      </c>
      <c r="H60" s="17">
        <v>85089</v>
      </c>
      <c r="I60" s="17">
        <v>9308</v>
      </c>
      <c r="J60" s="17">
        <v>94798</v>
      </c>
      <c r="K60" s="6">
        <v>2020</v>
      </c>
      <c r="L60" s="12">
        <f t="shared" si="0"/>
        <v>233062.25</v>
      </c>
    </row>
    <row r="61" spans="1:12" x14ac:dyDescent="0.3">
      <c r="A61" s="31">
        <v>60</v>
      </c>
      <c r="B61" s="33" t="s">
        <v>83</v>
      </c>
      <c r="C61" s="33" t="s">
        <v>26</v>
      </c>
      <c r="D61" s="17">
        <v>588980</v>
      </c>
      <c r="E61" s="7">
        <v>506976</v>
      </c>
      <c r="F61" s="17">
        <v>91000</v>
      </c>
      <c r="G61" s="17">
        <v>67</v>
      </c>
      <c r="H61" s="17">
        <v>79785</v>
      </c>
      <c r="I61" s="17">
        <v>20405</v>
      </c>
      <c r="J61" s="17">
        <v>94345</v>
      </c>
      <c r="K61" s="6">
        <v>2020</v>
      </c>
      <c r="L61" s="12">
        <f t="shared" si="0"/>
        <v>169440.25</v>
      </c>
    </row>
    <row r="62" spans="1:12" x14ac:dyDescent="0.3">
      <c r="A62" s="31">
        <v>61</v>
      </c>
      <c r="B62" s="33" t="s">
        <v>65</v>
      </c>
      <c r="C62" s="33" t="s">
        <v>55</v>
      </c>
      <c r="D62" s="17">
        <v>587240</v>
      </c>
      <c r="E62" s="7">
        <v>810386</v>
      </c>
      <c r="F62" s="17">
        <v>73248</v>
      </c>
      <c r="G62" s="17">
        <v>74</v>
      </c>
      <c r="H62" s="17">
        <v>37411</v>
      </c>
      <c r="I62" s="17">
        <v>29888</v>
      </c>
      <c r="J62" s="17">
        <v>82258</v>
      </c>
      <c r="K62" s="6">
        <v>2020</v>
      </c>
      <c r="L62" s="12">
        <f t="shared" si="0"/>
        <v>230261.25</v>
      </c>
    </row>
    <row r="63" spans="1:12" x14ac:dyDescent="0.3">
      <c r="A63" s="31">
        <v>62</v>
      </c>
      <c r="B63" s="33" t="s">
        <v>64</v>
      </c>
      <c r="C63" s="33" t="s">
        <v>55</v>
      </c>
      <c r="D63" s="17">
        <v>587080</v>
      </c>
      <c r="E63" s="7">
        <v>824327</v>
      </c>
      <c r="F63" s="17">
        <v>86092</v>
      </c>
      <c r="G63" s="17">
        <v>75</v>
      </c>
      <c r="H63" s="17">
        <v>71468</v>
      </c>
      <c r="I63" s="17">
        <v>6267</v>
      </c>
      <c r="J63" s="17">
        <v>65969</v>
      </c>
      <c r="K63" s="6">
        <v>2020</v>
      </c>
      <c r="L63" s="12">
        <f t="shared" si="0"/>
        <v>245471.75</v>
      </c>
    </row>
    <row r="64" spans="1:12" x14ac:dyDescent="0.3">
      <c r="A64" s="31">
        <v>63</v>
      </c>
      <c r="B64" s="33" t="s">
        <v>76</v>
      </c>
      <c r="C64" s="33" t="s">
        <v>26</v>
      </c>
      <c r="D64" s="17">
        <v>579680</v>
      </c>
      <c r="E64" s="7">
        <v>597751</v>
      </c>
      <c r="F64" s="17">
        <v>78084</v>
      </c>
      <c r="G64" s="17">
        <v>68</v>
      </c>
      <c r="H64" s="17">
        <v>74027</v>
      </c>
      <c r="I64" s="17">
        <v>16078</v>
      </c>
      <c r="J64" s="17">
        <v>94930</v>
      </c>
      <c r="K64" s="6">
        <v>2020</v>
      </c>
      <c r="L64" s="12">
        <f t="shared" si="0"/>
        <v>187465.5</v>
      </c>
    </row>
    <row r="65" spans="1:12" x14ac:dyDescent="0.3">
      <c r="A65" s="31">
        <v>64</v>
      </c>
      <c r="B65" s="33" t="s">
        <v>107</v>
      </c>
      <c r="C65" s="33" t="s">
        <v>47</v>
      </c>
      <c r="D65" s="17">
        <v>577820</v>
      </c>
      <c r="E65" s="7">
        <v>643064</v>
      </c>
      <c r="F65" s="17">
        <v>85776</v>
      </c>
      <c r="G65" s="17">
        <v>68</v>
      </c>
      <c r="H65" s="17">
        <v>57038</v>
      </c>
      <c r="I65" s="17">
        <v>26374</v>
      </c>
      <c r="J65" s="17">
        <v>88850</v>
      </c>
      <c r="K65" s="6">
        <v>2020</v>
      </c>
      <c r="L65" s="12">
        <f t="shared" si="0"/>
        <v>196469.5</v>
      </c>
    </row>
    <row r="66" spans="1:12" x14ac:dyDescent="0.3">
      <c r="A66" s="31">
        <v>65</v>
      </c>
      <c r="B66" s="33" t="s">
        <v>69</v>
      </c>
      <c r="C66" s="33" t="s">
        <v>26</v>
      </c>
      <c r="D66" s="17">
        <v>574750</v>
      </c>
      <c r="E66" s="7">
        <v>475687</v>
      </c>
      <c r="F66" s="17">
        <v>73816</v>
      </c>
      <c r="G66" s="17">
        <v>64</v>
      </c>
      <c r="H66" s="17">
        <v>82863</v>
      </c>
      <c r="I66" s="17">
        <v>24284</v>
      </c>
      <c r="J66" s="17">
        <v>86319</v>
      </c>
      <c r="K66" s="6">
        <v>2020</v>
      </c>
      <c r="L66" s="12">
        <f t="shared" si="0"/>
        <v>158091.5</v>
      </c>
    </row>
    <row r="67" spans="1:12" x14ac:dyDescent="0.3">
      <c r="A67" s="31">
        <v>66</v>
      </c>
      <c r="B67" s="33" t="s">
        <v>101</v>
      </c>
      <c r="C67" s="33" t="s">
        <v>99</v>
      </c>
      <c r="D67" s="17">
        <v>569330</v>
      </c>
      <c r="E67" s="7">
        <v>401385</v>
      </c>
      <c r="F67" s="17">
        <v>56410</v>
      </c>
      <c r="G67" s="17">
        <v>58</v>
      </c>
      <c r="H67" s="17">
        <v>58480</v>
      </c>
      <c r="I67" s="17">
        <v>40137</v>
      </c>
      <c r="J67" s="17">
        <v>77007</v>
      </c>
      <c r="K67" s="6">
        <v>2020</v>
      </c>
      <c r="L67" s="12">
        <f t="shared" ref="L67:L130" si="1">AVERAGE(E67,F67,H67,)</f>
        <v>129068.75</v>
      </c>
    </row>
    <row r="68" spans="1:12" x14ac:dyDescent="0.3">
      <c r="A68" s="31">
        <v>67</v>
      </c>
      <c r="B68" s="33" t="s">
        <v>71</v>
      </c>
      <c r="C68" s="33" t="s">
        <v>26</v>
      </c>
      <c r="D68" s="17">
        <v>569210</v>
      </c>
      <c r="E68" s="7">
        <v>584372</v>
      </c>
      <c r="F68" s="17">
        <v>88410</v>
      </c>
      <c r="G68" s="17">
        <v>66</v>
      </c>
      <c r="H68" s="17">
        <v>84600</v>
      </c>
      <c r="I68" s="17">
        <v>35854</v>
      </c>
      <c r="J68" s="17">
        <v>87794</v>
      </c>
      <c r="K68" s="6">
        <v>2020</v>
      </c>
      <c r="L68" s="12">
        <f t="shared" si="1"/>
        <v>189345.5</v>
      </c>
    </row>
    <row r="69" spans="1:12" x14ac:dyDescent="0.3">
      <c r="A69" s="31">
        <v>68</v>
      </c>
      <c r="B69" s="33" t="s">
        <v>118</v>
      </c>
      <c r="C69" s="33" t="s">
        <v>26</v>
      </c>
      <c r="D69" s="17">
        <v>568920</v>
      </c>
      <c r="E69" s="7">
        <v>639817</v>
      </c>
      <c r="F69" s="17">
        <v>85870</v>
      </c>
      <c r="G69" s="17">
        <v>66</v>
      </c>
      <c r="H69" s="17">
        <v>81191</v>
      </c>
      <c r="I69" s="17">
        <v>19690</v>
      </c>
      <c r="J69" s="17">
        <v>78253</v>
      </c>
      <c r="K69" s="6">
        <v>2020</v>
      </c>
      <c r="L69" s="12">
        <f t="shared" si="1"/>
        <v>201719.5</v>
      </c>
    </row>
    <row r="70" spans="1:12" x14ac:dyDescent="0.3">
      <c r="A70" s="31">
        <v>69</v>
      </c>
      <c r="B70" s="33" t="s">
        <v>116</v>
      </c>
      <c r="C70" s="33" t="s">
        <v>47</v>
      </c>
      <c r="D70" s="17">
        <v>567410</v>
      </c>
      <c r="E70" s="7">
        <v>597651</v>
      </c>
      <c r="F70" s="17">
        <v>77799</v>
      </c>
      <c r="G70" s="17">
        <v>68</v>
      </c>
      <c r="H70" s="17">
        <v>44047</v>
      </c>
      <c r="I70" s="17">
        <v>46332</v>
      </c>
      <c r="J70" s="17">
        <v>99780</v>
      </c>
      <c r="K70" s="6">
        <v>2020</v>
      </c>
      <c r="L70" s="12">
        <f t="shared" si="1"/>
        <v>179874.25</v>
      </c>
    </row>
    <row r="71" spans="1:12" x14ac:dyDescent="0.3">
      <c r="A71" s="31">
        <v>70</v>
      </c>
      <c r="B71" s="33" t="s">
        <v>70</v>
      </c>
      <c r="C71" s="33" t="s">
        <v>47</v>
      </c>
      <c r="D71" s="17">
        <v>560750</v>
      </c>
      <c r="E71" s="7">
        <v>460681</v>
      </c>
      <c r="F71" s="17">
        <v>79952</v>
      </c>
      <c r="G71" s="17">
        <v>65</v>
      </c>
      <c r="H71" s="17">
        <v>56193</v>
      </c>
      <c r="I71" s="17">
        <v>30545</v>
      </c>
      <c r="J71" s="17">
        <v>97303</v>
      </c>
      <c r="K71" s="6">
        <v>2020</v>
      </c>
      <c r="L71" s="12">
        <f t="shared" si="1"/>
        <v>149206.5</v>
      </c>
    </row>
    <row r="72" spans="1:12" x14ac:dyDescent="0.3">
      <c r="A72" s="31">
        <v>71</v>
      </c>
      <c r="B72" s="33" t="s">
        <v>126</v>
      </c>
      <c r="C72" s="33" t="s">
        <v>62</v>
      </c>
      <c r="D72" s="17">
        <v>555570</v>
      </c>
      <c r="E72" s="7">
        <v>309027</v>
      </c>
      <c r="F72" s="17">
        <v>78729</v>
      </c>
      <c r="G72" s="17">
        <v>64</v>
      </c>
      <c r="H72" s="17">
        <v>75171</v>
      </c>
      <c r="I72" s="17">
        <v>32013</v>
      </c>
      <c r="J72" s="17">
        <v>58403</v>
      </c>
      <c r="K72" s="6">
        <v>2020</v>
      </c>
      <c r="L72" s="12">
        <f t="shared" si="1"/>
        <v>115731.75</v>
      </c>
    </row>
    <row r="73" spans="1:12" x14ac:dyDescent="0.3">
      <c r="A73" s="31">
        <v>72</v>
      </c>
      <c r="B73" s="33" t="s">
        <v>102</v>
      </c>
      <c r="C73" s="33" t="s">
        <v>47</v>
      </c>
      <c r="D73" s="17">
        <v>554610</v>
      </c>
      <c r="E73" s="7">
        <v>657360</v>
      </c>
      <c r="F73" s="17">
        <v>81784</v>
      </c>
      <c r="G73" s="17">
        <v>69</v>
      </c>
      <c r="H73" s="17">
        <v>43738</v>
      </c>
      <c r="I73" s="17">
        <v>26151</v>
      </c>
      <c r="J73" s="17">
        <v>81537</v>
      </c>
      <c r="K73" s="6">
        <v>2020</v>
      </c>
      <c r="L73" s="12">
        <f t="shared" si="1"/>
        <v>195720.5</v>
      </c>
    </row>
    <row r="74" spans="1:12" x14ac:dyDescent="0.3">
      <c r="A74" s="31">
        <v>73</v>
      </c>
      <c r="B74" s="33" t="s">
        <v>82</v>
      </c>
      <c r="C74" s="33" t="s">
        <v>62</v>
      </c>
      <c r="D74" s="17">
        <v>554600</v>
      </c>
      <c r="E74" s="7">
        <v>733401</v>
      </c>
      <c r="F74" s="17">
        <v>89085</v>
      </c>
      <c r="G74" s="17">
        <v>64</v>
      </c>
      <c r="H74" s="17">
        <v>57625</v>
      </c>
      <c r="I74" s="17">
        <v>17381</v>
      </c>
      <c r="J74" s="17">
        <v>91429</v>
      </c>
      <c r="K74" s="6">
        <v>2020</v>
      </c>
      <c r="L74" s="12">
        <f t="shared" si="1"/>
        <v>220027.75</v>
      </c>
    </row>
    <row r="75" spans="1:12" x14ac:dyDescent="0.3">
      <c r="A75" s="31">
        <v>74</v>
      </c>
      <c r="B75" s="33" t="s">
        <v>96</v>
      </c>
      <c r="C75" s="33" t="s">
        <v>62</v>
      </c>
      <c r="D75" s="17">
        <v>554150</v>
      </c>
      <c r="E75" s="7">
        <v>333955</v>
      </c>
      <c r="F75" s="17">
        <v>86654</v>
      </c>
      <c r="G75" s="17">
        <v>64</v>
      </c>
      <c r="H75" s="17">
        <v>88655</v>
      </c>
      <c r="I75" s="17">
        <v>52889</v>
      </c>
      <c r="J75" s="17">
        <v>94286</v>
      </c>
      <c r="K75" s="6">
        <v>2020</v>
      </c>
      <c r="L75" s="12">
        <f t="shared" si="1"/>
        <v>127316</v>
      </c>
    </row>
    <row r="76" spans="1:12" x14ac:dyDescent="0.3">
      <c r="A76" s="31">
        <v>75</v>
      </c>
      <c r="B76" s="33" t="s">
        <v>77</v>
      </c>
      <c r="C76" s="33" t="s">
        <v>62</v>
      </c>
      <c r="D76" s="17">
        <v>553990</v>
      </c>
      <c r="E76" s="7">
        <v>663025</v>
      </c>
      <c r="F76" s="17">
        <v>89634</v>
      </c>
      <c r="G76" s="17">
        <v>66</v>
      </c>
      <c r="H76" s="17">
        <v>41940</v>
      </c>
      <c r="I76" s="17">
        <v>15783</v>
      </c>
      <c r="J76" s="17">
        <v>63687</v>
      </c>
      <c r="K76" s="6">
        <v>2020</v>
      </c>
      <c r="L76" s="12">
        <f t="shared" si="1"/>
        <v>198649.75</v>
      </c>
    </row>
    <row r="77" spans="1:12" x14ac:dyDescent="0.3">
      <c r="A77" s="31">
        <v>77</v>
      </c>
      <c r="B77" s="33" t="s">
        <v>122</v>
      </c>
      <c r="C77" s="33" t="s">
        <v>24</v>
      </c>
      <c r="D77" s="17">
        <v>551500</v>
      </c>
      <c r="E77" s="7">
        <v>734098</v>
      </c>
      <c r="F77" s="17">
        <v>75536</v>
      </c>
      <c r="G77" s="17">
        <v>72</v>
      </c>
      <c r="H77" s="17">
        <v>25029</v>
      </c>
      <c r="I77" s="17">
        <v>0</v>
      </c>
      <c r="J77" s="17">
        <v>90839</v>
      </c>
      <c r="K77" s="6">
        <v>2020</v>
      </c>
      <c r="L77" s="12">
        <f t="shared" si="1"/>
        <v>208665.75</v>
      </c>
    </row>
    <row r="78" spans="1:12" x14ac:dyDescent="0.3">
      <c r="A78" s="31">
        <v>78</v>
      </c>
      <c r="B78" s="33" t="s">
        <v>185</v>
      </c>
      <c r="C78" s="33" t="s">
        <v>55</v>
      </c>
      <c r="D78" s="17">
        <v>551040</v>
      </c>
      <c r="E78" s="7">
        <v>895925</v>
      </c>
      <c r="F78" s="17">
        <v>80357</v>
      </c>
      <c r="G78" s="17">
        <v>77</v>
      </c>
      <c r="H78" s="17">
        <v>66259</v>
      </c>
      <c r="I78" s="17">
        <v>50592</v>
      </c>
      <c r="J78" s="17">
        <v>37639</v>
      </c>
      <c r="K78" s="6">
        <v>2020</v>
      </c>
      <c r="L78" s="12">
        <f t="shared" si="1"/>
        <v>260635.25</v>
      </c>
    </row>
    <row r="79" spans="1:12" x14ac:dyDescent="0.3">
      <c r="A79" s="31">
        <v>79</v>
      </c>
      <c r="B79" s="33" t="s">
        <v>80</v>
      </c>
      <c r="C79" s="33" t="s">
        <v>47</v>
      </c>
      <c r="D79" s="17">
        <v>550470</v>
      </c>
      <c r="E79" s="7">
        <v>721703</v>
      </c>
      <c r="F79" s="17">
        <v>84731</v>
      </c>
      <c r="G79" s="17">
        <v>70</v>
      </c>
      <c r="H79" s="17">
        <v>55023</v>
      </c>
      <c r="I79" s="17">
        <v>20006</v>
      </c>
      <c r="J79" s="17">
        <v>97688</v>
      </c>
      <c r="K79" s="6">
        <v>2020</v>
      </c>
      <c r="L79" s="12">
        <f t="shared" si="1"/>
        <v>215364.25</v>
      </c>
    </row>
    <row r="80" spans="1:12" x14ac:dyDescent="0.3">
      <c r="A80" s="31">
        <v>80</v>
      </c>
      <c r="B80" s="33" t="s">
        <v>81</v>
      </c>
      <c r="C80" s="33" t="s">
        <v>24</v>
      </c>
      <c r="D80" s="17">
        <v>548880</v>
      </c>
      <c r="E80" s="7">
        <v>665016</v>
      </c>
      <c r="F80" s="17">
        <v>77301</v>
      </c>
      <c r="G80" s="17">
        <v>62</v>
      </c>
      <c r="H80" s="17">
        <v>65105</v>
      </c>
      <c r="I80" s="17">
        <v>25053</v>
      </c>
      <c r="J80" s="17">
        <v>67691</v>
      </c>
      <c r="K80" s="6">
        <v>2020</v>
      </c>
      <c r="L80" s="12">
        <f t="shared" si="1"/>
        <v>201855.5</v>
      </c>
    </row>
    <row r="81" spans="1:12" x14ac:dyDescent="0.3">
      <c r="A81" s="31">
        <v>81</v>
      </c>
      <c r="B81" s="33" t="s">
        <v>120</v>
      </c>
      <c r="C81" s="33" t="s">
        <v>55</v>
      </c>
      <c r="D81" s="17">
        <v>545620</v>
      </c>
      <c r="E81" s="7">
        <v>588851</v>
      </c>
      <c r="F81" s="17">
        <v>94273</v>
      </c>
      <c r="G81" s="17">
        <v>62</v>
      </c>
      <c r="H81" s="17">
        <v>51308</v>
      </c>
      <c r="I81" s="17">
        <v>46311</v>
      </c>
      <c r="J81" s="17">
        <v>91272</v>
      </c>
      <c r="K81" s="6">
        <v>2020</v>
      </c>
      <c r="L81" s="12">
        <f t="shared" si="1"/>
        <v>183608</v>
      </c>
    </row>
    <row r="82" spans="1:12" x14ac:dyDescent="0.3">
      <c r="A82" s="31">
        <v>82</v>
      </c>
      <c r="B82" s="33" t="s">
        <v>79</v>
      </c>
      <c r="C82" s="33" t="s">
        <v>39</v>
      </c>
      <c r="D82" s="17">
        <v>538430</v>
      </c>
      <c r="E82" s="7">
        <v>760356</v>
      </c>
      <c r="F82" s="17">
        <v>75861</v>
      </c>
      <c r="G82" s="17">
        <v>67</v>
      </c>
      <c r="H82" s="17">
        <v>86105</v>
      </c>
      <c r="I82" s="17">
        <v>48241</v>
      </c>
      <c r="J82" s="17">
        <v>88341</v>
      </c>
      <c r="K82" s="6">
        <v>2020</v>
      </c>
      <c r="L82" s="12">
        <f t="shared" si="1"/>
        <v>230580.5</v>
      </c>
    </row>
    <row r="83" spans="1:12" x14ac:dyDescent="0.3">
      <c r="A83" s="31">
        <v>83</v>
      </c>
      <c r="B83" s="33" t="s">
        <v>94</v>
      </c>
      <c r="C83" s="33" t="s">
        <v>39</v>
      </c>
      <c r="D83" s="17">
        <v>535350</v>
      </c>
      <c r="E83" s="7">
        <v>467302</v>
      </c>
      <c r="F83" s="17">
        <v>80971</v>
      </c>
      <c r="G83" s="17">
        <v>68</v>
      </c>
      <c r="H83" s="17">
        <v>93879</v>
      </c>
      <c r="I83" s="17">
        <v>23953</v>
      </c>
      <c r="J83" s="17">
        <v>83148</v>
      </c>
      <c r="K83" s="6">
        <v>2020</v>
      </c>
      <c r="L83" s="12">
        <f t="shared" si="1"/>
        <v>160538</v>
      </c>
    </row>
    <row r="84" spans="1:12" x14ac:dyDescent="0.3">
      <c r="A84" s="31">
        <v>84</v>
      </c>
      <c r="B84" s="33" t="s">
        <v>93</v>
      </c>
      <c r="C84" s="33" t="s">
        <v>39</v>
      </c>
      <c r="D84" s="17">
        <v>528560</v>
      </c>
      <c r="E84" s="7">
        <v>580292</v>
      </c>
      <c r="F84" s="17">
        <v>74620</v>
      </c>
      <c r="G84" s="17">
        <v>62</v>
      </c>
      <c r="H84" s="17">
        <v>81954</v>
      </c>
      <c r="I84" s="17">
        <v>95232</v>
      </c>
      <c r="J84" s="17">
        <v>92820</v>
      </c>
      <c r="K84" s="6">
        <v>2020</v>
      </c>
      <c r="L84" s="12">
        <f t="shared" si="1"/>
        <v>184216.5</v>
      </c>
    </row>
    <row r="85" spans="1:12" x14ac:dyDescent="0.3">
      <c r="A85" s="31">
        <v>85</v>
      </c>
      <c r="B85" s="33" t="s">
        <v>171</v>
      </c>
      <c r="C85" s="33" t="s">
        <v>90</v>
      </c>
      <c r="D85" s="17">
        <v>523330</v>
      </c>
      <c r="E85" s="7">
        <v>349517</v>
      </c>
      <c r="F85" s="17">
        <v>51676</v>
      </c>
      <c r="G85" s="17">
        <v>50</v>
      </c>
      <c r="H85" s="17">
        <v>57282</v>
      </c>
      <c r="I85" s="17">
        <v>29819</v>
      </c>
      <c r="J85" s="17">
        <v>82464</v>
      </c>
      <c r="K85" s="6">
        <v>2020</v>
      </c>
      <c r="L85" s="12">
        <f t="shared" si="1"/>
        <v>114618.75</v>
      </c>
    </row>
    <row r="86" spans="1:12" x14ac:dyDescent="0.3">
      <c r="A86" s="31">
        <v>86</v>
      </c>
      <c r="B86" s="33" t="s">
        <v>175</v>
      </c>
      <c r="C86" s="33" t="s">
        <v>90</v>
      </c>
      <c r="D86" s="17">
        <v>521600</v>
      </c>
      <c r="E86" s="7">
        <v>238336</v>
      </c>
      <c r="F86" s="17">
        <v>22773</v>
      </c>
      <c r="G86" s="17">
        <v>54</v>
      </c>
      <c r="H86" s="17">
        <v>58540</v>
      </c>
      <c r="I86" s="17">
        <v>34515</v>
      </c>
      <c r="J86" s="17">
        <v>76380</v>
      </c>
      <c r="K86" s="6">
        <v>2020</v>
      </c>
      <c r="L86" s="12">
        <f t="shared" si="1"/>
        <v>79912.25</v>
      </c>
    </row>
    <row r="87" spans="1:12" x14ac:dyDescent="0.3">
      <c r="A87" s="31">
        <v>87</v>
      </c>
      <c r="B87" s="33" t="s">
        <v>190</v>
      </c>
      <c r="C87" s="33" t="s">
        <v>39</v>
      </c>
      <c r="D87" s="17">
        <v>519760</v>
      </c>
      <c r="E87" s="7">
        <v>610320</v>
      </c>
      <c r="F87" s="17">
        <v>90612</v>
      </c>
      <c r="G87" s="17">
        <v>71</v>
      </c>
      <c r="H87" s="17">
        <v>79075</v>
      </c>
      <c r="I87" s="17">
        <v>39346</v>
      </c>
      <c r="J87" s="17">
        <v>86513</v>
      </c>
      <c r="K87" s="6">
        <v>2020</v>
      </c>
      <c r="L87" s="12">
        <f t="shared" si="1"/>
        <v>195001.75</v>
      </c>
    </row>
    <row r="88" spans="1:12" x14ac:dyDescent="0.3">
      <c r="A88" s="31">
        <v>88</v>
      </c>
      <c r="B88" s="33" t="s">
        <v>159</v>
      </c>
      <c r="C88" s="33" t="s">
        <v>90</v>
      </c>
      <c r="D88" s="17">
        <v>519440</v>
      </c>
      <c r="E88" s="7">
        <v>412329</v>
      </c>
      <c r="F88" s="17">
        <v>48957</v>
      </c>
      <c r="G88" s="17">
        <v>58</v>
      </c>
      <c r="H88" s="17">
        <v>55752</v>
      </c>
      <c r="I88" s="17">
        <v>20571</v>
      </c>
      <c r="J88" s="17">
        <v>77742</v>
      </c>
      <c r="K88" s="6">
        <v>2020</v>
      </c>
      <c r="L88" s="12">
        <f t="shared" si="1"/>
        <v>129259.5</v>
      </c>
    </row>
    <row r="89" spans="1:12" x14ac:dyDescent="0.3">
      <c r="A89" s="31">
        <v>89</v>
      </c>
      <c r="B89" s="33" t="s">
        <v>100</v>
      </c>
      <c r="C89" s="33" t="s">
        <v>62</v>
      </c>
      <c r="D89" s="17">
        <v>516480</v>
      </c>
      <c r="E89" s="7">
        <v>644425</v>
      </c>
      <c r="F89" s="17">
        <v>76288</v>
      </c>
      <c r="G89" s="17">
        <v>66</v>
      </c>
      <c r="H89" s="17">
        <v>67468</v>
      </c>
      <c r="I89" s="17">
        <v>7040</v>
      </c>
      <c r="J89" s="17">
        <v>53615</v>
      </c>
      <c r="K89" s="6">
        <v>2020</v>
      </c>
      <c r="L89" s="12">
        <f t="shared" si="1"/>
        <v>197045.25</v>
      </c>
    </row>
    <row r="90" spans="1:12" x14ac:dyDescent="0.3">
      <c r="A90" s="31">
        <v>90</v>
      </c>
      <c r="B90" s="33" t="s">
        <v>113</v>
      </c>
      <c r="C90" s="33" t="s">
        <v>47</v>
      </c>
      <c r="D90" s="17">
        <v>515980</v>
      </c>
      <c r="E90" s="7">
        <v>608698</v>
      </c>
      <c r="F90" s="17">
        <v>76454</v>
      </c>
      <c r="G90" s="17">
        <v>68</v>
      </c>
      <c r="H90" s="17">
        <v>59172</v>
      </c>
      <c r="I90" s="17">
        <v>32618</v>
      </c>
      <c r="J90" s="17">
        <v>95387</v>
      </c>
      <c r="K90" s="6">
        <v>2020</v>
      </c>
      <c r="L90" s="12">
        <f t="shared" si="1"/>
        <v>186081</v>
      </c>
    </row>
    <row r="91" spans="1:12" x14ac:dyDescent="0.3">
      <c r="A91" s="31">
        <v>91</v>
      </c>
      <c r="B91" s="33" t="s">
        <v>134</v>
      </c>
      <c r="C91" s="33" t="s">
        <v>90</v>
      </c>
      <c r="D91" s="17">
        <v>514800</v>
      </c>
      <c r="E91" s="7">
        <v>374746</v>
      </c>
      <c r="F91" s="17">
        <v>62444</v>
      </c>
      <c r="G91" s="17">
        <v>57</v>
      </c>
      <c r="H91" s="17">
        <v>68846</v>
      </c>
      <c r="I91" s="17">
        <v>45856</v>
      </c>
      <c r="J91" s="17">
        <v>89390</v>
      </c>
      <c r="K91" s="6">
        <v>2020</v>
      </c>
      <c r="L91" s="12">
        <f t="shared" si="1"/>
        <v>126509</v>
      </c>
    </row>
    <row r="92" spans="1:12" x14ac:dyDescent="0.3">
      <c r="A92" s="31">
        <v>92</v>
      </c>
      <c r="B92" s="33" t="s">
        <v>141</v>
      </c>
      <c r="C92" s="33" t="s">
        <v>99</v>
      </c>
      <c r="D92" s="17">
        <v>513720</v>
      </c>
      <c r="E92" s="7">
        <v>288968</v>
      </c>
      <c r="F92" s="17">
        <v>71130</v>
      </c>
      <c r="G92" s="17">
        <v>64</v>
      </c>
      <c r="H92" s="17">
        <v>69325</v>
      </c>
      <c r="I92" s="17">
        <v>52819</v>
      </c>
      <c r="J92" s="17">
        <v>76086</v>
      </c>
      <c r="K92" s="6">
        <v>2020</v>
      </c>
      <c r="L92" s="12">
        <f t="shared" si="1"/>
        <v>107355.75</v>
      </c>
    </row>
    <row r="93" spans="1:12" x14ac:dyDescent="0.3">
      <c r="A93" s="31">
        <v>93</v>
      </c>
      <c r="B93" s="33" t="s">
        <v>95</v>
      </c>
      <c r="C93" s="33" t="s">
        <v>24</v>
      </c>
      <c r="D93" s="17">
        <v>513180</v>
      </c>
      <c r="E93" s="7">
        <v>733511</v>
      </c>
      <c r="F93" s="17">
        <v>77357</v>
      </c>
      <c r="G93" s="17">
        <v>67</v>
      </c>
      <c r="H93" s="17">
        <v>36696</v>
      </c>
      <c r="I93" s="17">
        <v>15073</v>
      </c>
      <c r="J93" s="17">
        <v>77308</v>
      </c>
      <c r="K93" s="6">
        <v>2020</v>
      </c>
      <c r="L93" s="12">
        <f t="shared" si="1"/>
        <v>211891</v>
      </c>
    </row>
    <row r="94" spans="1:12" x14ac:dyDescent="0.3">
      <c r="A94" s="31">
        <v>94</v>
      </c>
      <c r="B94" s="33" t="s">
        <v>104</v>
      </c>
      <c r="C94" s="33" t="s">
        <v>55</v>
      </c>
      <c r="D94" s="17">
        <v>512390</v>
      </c>
      <c r="E94" s="7">
        <v>644595</v>
      </c>
      <c r="F94" s="17">
        <v>73152</v>
      </c>
      <c r="G94" s="17">
        <v>69</v>
      </c>
      <c r="H94" s="17">
        <v>86778</v>
      </c>
      <c r="I94" s="17">
        <v>13868</v>
      </c>
      <c r="J94" s="17">
        <v>78008</v>
      </c>
      <c r="K94" s="6">
        <v>2020</v>
      </c>
      <c r="L94" s="12">
        <f t="shared" si="1"/>
        <v>201131.25</v>
      </c>
    </row>
    <row r="95" spans="1:12" x14ac:dyDescent="0.3">
      <c r="A95" s="31">
        <v>95</v>
      </c>
      <c r="B95" s="33" t="s">
        <v>88</v>
      </c>
      <c r="C95" s="33" t="s">
        <v>62</v>
      </c>
      <c r="D95" s="17">
        <v>511910</v>
      </c>
      <c r="E95" s="7">
        <v>656588</v>
      </c>
      <c r="F95" s="17">
        <v>97603</v>
      </c>
      <c r="G95" s="17">
        <v>62</v>
      </c>
      <c r="H95" s="17">
        <v>74320</v>
      </c>
      <c r="I95" s="17">
        <v>56708</v>
      </c>
      <c r="J95" s="17">
        <v>93716</v>
      </c>
      <c r="K95" s="6">
        <v>2020</v>
      </c>
      <c r="L95" s="12">
        <f t="shared" si="1"/>
        <v>207127.75</v>
      </c>
    </row>
    <row r="96" spans="1:12" x14ac:dyDescent="0.3">
      <c r="A96" s="31">
        <v>96</v>
      </c>
      <c r="B96" s="33" t="s">
        <v>154</v>
      </c>
      <c r="C96" s="33" t="s">
        <v>47</v>
      </c>
      <c r="D96" s="17">
        <v>510150</v>
      </c>
      <c r="E96" s="7">
        <v>681051</v>
      </c>
      <c r="F96" s="17">
        <v>94379</v>
      </c>
      <c r="G96" s="17">
        <v>67</v>
      </c>
      <c r="H96" s="17">
        <v>60268</v>
      </c>
      <c r="I96" s="17">
        <v>18222</v>
      </c>
      <c r="J96" s="17">
        <v>100000</v>
      </c>
      <c r="K96" s="6">
        <v>2020</v>
      </c>
      <c r="L96" s="12">
        <f t="shared" si="1"/>
        <v>208924.5</v>
      </c>
    </row>
    <row r="97" spans="1:12" x14ac:dyDescent="0.3">
      <c r="A97" s="31">
        <v>97</v>
      </c>
      <c r="B97" s="33" t="s">
        <v>112</v>
      </c>
      <c r="C97" s="33" t="s">
        <v>24</v>
      </c>
      <c r="D97" s="17">
        <v>509480</v>
      </c>
      <c r="E97" s="7">
        <v>493677</v>
      </c>
      <c r="F97" s="17">
        <v>41692</v>
      </c>
      <c r="G97" s="17">
        <v>66</v>
      </c>
      <c r="H97" s="17">
        <v>64918</v>
      </c>
      <c r="I97" s="17">
        <v>7026</v>
      </c>
      <c r="J97" s="17">
        <v>85486</v>
      </c>
      <c r="K97" s="6">
        <v>2020</v>
      </c>
      <c r="L97" s="12">
        <f t="shared" si="1"/>
        <v>150071.75</v>
      </c>
    </row>
    <row r="98" spans="1:12" x14ac:dyDescent="0.3">
      <c r="A98" s="31">
        <v>98</v>
      </c>
      <c r="B98" s="33" t="s">
        <v>153</v>
      </c>
      <c r="C98" s="33" t="s">
        <v>90</v>
      </c>
      <c r="D98" s="17">
        <v>508490</v>
      </c>
      <c r="E98" s="7">
        <v>327953</v>
      </c>
      <c r="F98" s="17">
        <v>58138</v>
      </c>
      <c r="G98" s="17">
        <v>53</v>
      </c>
      <c r="H98" s="17">
        <v>63358</v>
      </c>
      <c r="I98" s="17">
        <v>34752</v>
      </c>
      <c r="J98" s="17">
        <v>89798</v>
      </c>
      <c r="K98" s="6">
        <v>2020</v>
      </c>
      <c r="L98" s="12">
        <f t="shared" si="1"/>
        <v>112362.25</v>
      </c>
    </row>
    <row r="99" spans="1:12" x14ac:dyDescent="0.3">
      <c r="A99" s="31">
        <v>99</v>
      </c>
      <c r="B99" s="33" t="s">
        <v>37</v>
      </c>
      <c r="C99" s="33" t="s">
        <v>26</v>
      </c>
      <c r="D99" s="17">
        <v>505320</v>
      </c>
      <c r="E99" s="7">
        <v>501237</v>
      </c>
      <c r="F99" s="17">
        <v>87140</v>
      </c>
      <c r="G99" s="17">
        <v>67</v>
      </c>
      <c r="H99" s="17">
        <v>39194</v>
      </c>
      <c r="I99" s="17">
        <v>15300</v>
      </c>
      <c r="J99" s="17">
        <v>88067</v>
      </c>
      <c r="K99" s="6">
        <v>2020</v>
      </c>
      <c r="L99" s="12">
        <f t="shared" si="1"/>
        <v>156892.75</v>
      </c>
    </row>
    <row r="100" spans="1:12" x14ac:dyDescent="0.3">
      <c r="A100" s="31">
        <v>100</v>
      </c>
      <c r="B100" s="33" t="s">
        <v>86</v>
      </c>
      <c r="C100" s="33" t="s">
        <v>24</v>
      </c>
      <c r="D100" s="17">
        <v>500510</v>
      </c>
      <c r="E100" s="7">
        <v>614219</v>
      </c>
      <c r="F100" s="17">
        <v>73858</v>
      </c>
      <c r="G100" s="17">
        <v>66</v>
      </c>
      <c r="H100" s="17">
        <v>12108</v>
      </c>
      <c r="I100" s="17">
        <v>20869</v>
      </c>
      <c r="J100" s="17">
        <v>75769</v>
      </c>
      <c r="K100" s="6">
        <v>2020</v>
      </c>
      <c r="L100" s="12">
        <f t="shared" si="1"/>
        <v>175046.25</v>
      </c>
    </row>
    <row r="101" spans="1:12" x14ac:dyDescent="0.3">
      <c r="A101" s="31">
        <v>101</v>
      </c>
      <c r="B101" s="33" t="s">
        <v>162</v>
      </c>
      <c r="C101" s="33" t="s">
        <v>90</v>
      </c>
      <c r="D101" s="17">
        <v>498080</v>
      </c>
      <c r="E101" s="7">
        <v>328021</v>
      </c>
      <c r="F101" s="17">
        <v>61683</v>
      </c>
      <c r="G101" s="17">
        <v>60</v>
      </c>
      <c r="H101" s="17">
        <v>50832</v>
      </c>
      <c r="I101" s="17">
        <v>28851</v>
      </c>
      <c r="J101" s="17">
        <v>84645</v>
      </c>
      <c r="K101" s="6">
        <v>2020</v>
      </c>
      <c r="L101" s="12">
        <f t="shared" si="1"/>
        <v>110134</v>
      </c>
    </row>
    <row r="102" spans="1:12" x14ac:dyDescent="0.3">
      <c r="A102" s="31">
        <v>102</v>
      </c>
      <c r="B102" s="33" t="s">
        <v>170</v>
      </c>
      <c r="C102" s="33" t="s">
        <v>90</v>
      </c>
      <c r="D102" s="17">
        <v>494930</v>
      </c>
      <c r="E102" s="7">
        <v>253800</v>
      </c>
      <c r="F102" s="17">
        <v>48551</v>
      </c>
      <c r="G102" s="17">
        <v>54</v>
      </c>
      <c r="H102" s="17">
        <v>53641</v>
      </c>
      <c r="I102" s="17">
        <v>43785</v>
      </c>
      <c r="J102" s="17">
        <v>78955</v>
      </c>
      <c r="K102" s="6">
        <v>2020</v>
      </c>
      <c r="L102" s="12">
        <f t="shared" si="1"/>
        <v>88998</v>
      </c>
    </row>
    <row r="103" spans="1:12" x14ac:dyDescent="0.3">
      <c r="A103" s="31">
        <v>103</v>
      </c>
      <c r="B103" s="33" t="s">
        <v>164</v>
      </c>
      <c r="C103" s="33" t="s">
        <v>90</v>
      </c>
      <c r="D103" s="17">
        <v>490960</v>
      </c>
      <c r="E103" s="7">
        <v>70497</v>
      </c>
      <c r="F103" s="17">
        <v>45478</v>
      </c>
      <c r="G103" s="17">
        <v>54</v>
      </c>
      <c r="H103" s="17">
        <v>62791</v>
      </c>
      <c r="I103" s="17">
        <v>36534</v>
      </c>
      <c r="J103" s="17">
        <v>74200</v>
      </c>
      <c r="K103" s="6">
        <v>2020</v>
      </c>
      <c r="L103" s="12">
        <f t="shared" si="1"/>
        <v>44691.5</v>
      </c>
    </row>
    <row r="104" spans="1:12" x14ac:dyDescent="0.3">
      <c r="A104" s="31">
        <v>104</v>
      </c>
      <c r="B104" s="33" t="s">
        <v>119</v>
      </c>
      <c r="C104" s="33" t="s">
        <v>55</v>
      </c>
      <c r="D104" s="17">
        <v>488860</v>
      </c>
      <c r="E104" s="7">
        <v>465091</v>
      </c>
      <c r="F104" s="17">
        <v>63803</v>
      </c>
      <c r="G104" s="17">
        <v>59</v>
      </c>
      <c r="H104" s="17">
        <v>88281</v>
      </c>
      <c r="I104" s="17">
        <v>47852</v>
      </c>
      <c r="J104" s="17">
        <v>63562</v>
      </c>
      <c r="K104" s="6">
        <v>2020</v>
      </c>
      <c r="L104" s="12">
        <f t="shared" si="1"/>
        <v>154293.75</v>
      </c>
    </row>
    <row r="105" spans="1:12" x14ac:dyDescent="0.3">
      <c r="A105" s="31">
        <v>105</v>
      </c>
      <c r="B105" s="33" t="s">
        <v>115</v>
      </c>
      <c r="C105" s="33" t="s">
        <v>47</v>
      </c>
      <c r="D105" s="17">
        <v>488270</v>
      </c>
      <c r="E105" s="7">
        <v>590009</v>
      </c>
      <c r="F105" s="17">
        <v>53664</v>
      </c>
      <c r="G105" s="17">
        <v>69</v>
      </c>
      <c r="H105" s="17">
        <v>66633</v>
      </c>
      <c r="I105" s="17">
        <v>30015</v>
      </c>
      <c r="J105" s="17">
        <v>95243</v>
      </c>
      <c r="K105" s="6">
        <v>2020</v>
      </c>
      <c r="L105" s="12">
        <f t="shared" si="1"/>
        <v>177576.5</v>
      </c>
    </row>
    <row r="106" spans="1:12" x14ac:dyDescent="0.3">
      <c r="A106" s="31">
        <v>106</v>
      </c>
      <c r="B106" s="33" t="s">
        <v>165</v>
      </c>
      <c r="C106" s="33" t="s">
        <v>39</v>
      </c>
      <c r="D106" s="17">
        <v>484840</v>
      </c>
      <c r="E106" s="7">
        <v>354424</v>
      </c>
      <c r="F106" s="17">
        <v>69233</v>
      </c>
      <c r="G106" s="17">
        <v>62</v>
      </c>
      <c r="H106" s="17">
        <v>97356</v>
      </c>
      <c r="I106" s="17">
        <v>40951</v>
      </c>
      <c r="J106" s="17">
        <v>86339</v>
      </c>
      <c r="K106" s="6">
        <v>2020</v>
      </c>
      <c r="L106" s="12">
        <f t="shared" si="1"/>
        <v>130253.25</v>
      </c>
    </row>
    <row r="107" spans="1:12" x14ac:dyDescent="0.3">
      <c r="A107" s="31">
        <v>107</v>
      </c>
      <c r="B107" s="33" t="s">
        <v>129</v>
      </c>
      <c r="C107" s="33" t="s">
        <v>99</v>
      </c>
      <c r="D107" s="17">
        <v>483280</v>
      </c>
      <c r="E107" s="7">
        <v>361922</v>
      </c>
      <c r="F107" s="17">
        <v>56140</v>
      </c>
      <c r="G107" s="17">
        <v>65</v>
      </c>
      <c r="H107" s="17">
        <v>87142</v>
      </c>
      <c r="I107" s="17">
        <v>31018</v>
      </c>
      <c r="J107" s="17">
        <v>66851</v>
      </c>
      <c r="K107" s="6">
        <v>2020</v>
      </c>
      <c r="L107" s="12">
        <f t="shared" si="1"/>
        <v>126301</v>
      </c>
    </row>
    <row r="108" spans="1:12" x14ac:dyDescent="0.3">
      <c r="A108" s="31">
        <v>108</v>
      </c>
      <c r="B108" s="33" t="s">
        <v>163</v>
      </c>
      <c r="C108" s="33" t="s">
        <v>90</v>
      </c>
      <c r="D108" s="17">
        <v>482930</v>
      </c>
      <c r="E108" s="7">
        <v>642975</v>
      </c>
      <c r="F108" s="17">
        <v>71493</v>
      </c>
      <c r="G108" s="17">
        <v>60</v>
      </c>
      <c r="H108" s="17">
        <v>53292</v>
      </c>
      <c r="I108" s="17">
        <v>9128</v>
      </c>
      <c r="J108" s="17">
        <v>89533</v>
      </c>
      <c r="K108" s="6">
        <v>2020</v>
      </c>
      <c r="L108" s="12">
        <f t="shared" si="1"/>
        <v>191940</v>
      </c>
    </row>
    <row r="109" spans="1:12" x14ac:dyDescent="0.3">
      <c r="A109" s="31">
        <v>109</v>
      </c>
      <c r="B109" s="33" t="s">
        <v>133</v>
      </c>
      <c r="C109" s="33" t="s">
        <v>90</v>
      </c>
      <c r="D109" s="17">
        <v>481410</v>
      </c>
      <c r="E109" s="7">
        <v>587073</v>
      </c>
      <c r="F109" s="17">
        <v>81359</v>
      </c>
      <c r="G109" s="17">
        <v>57</v>
      </c>
      <c r="H109" s="17">
        <v>62715</v>
      </c>
      <c r="I109" s="17">
        <v>22184</v>
      </c>
      <c r="J109" s="17">
        <v>88840</v>
      </c>
      <c r="K109" s="6">
        <v>2020</v>
      </c>
      <c r="L109" s="12">
        <f t="shared" si="1"/>
        <v>182786.75</v>
      </c>
    </row>
    <row r="110" spans="1:12" x14ac:dyDescent="0.3">
      <c r="A110" s="31">
        <v>110</v>
      </c>
      <c r="B110" s="33" t="s">
        <v>132</v>
      </c>
      <c r="C110" s="33" t="s">
        <v>24</v>
      </c>
      <c r="D110" s="17">
        <v>478480</v>
      </c>
      <c r="E110" s="7">
        <v>639054</v>
      </c>
      <c r="F110" s="17">
        <v>65358</v>
      </c>
      <c r="G110" s="17">
        <v>60</v>
      </c>
      <c r="H110" s="17">
        <v>40906</v>
      </c>
      <c r="I110" s="17">
        <v>26851</v>
      </c>
      <c r="J110" s="17">
        <v>86277</v>
      </c>
      <c r="K110" s="6">
        <v>2020</v>
      </c>
      <c r="L110" s="12">
        <f t="shared" si="1"/>
        <v>186329.5</v>
      </c>
    </row>
    <row r="111" spans="1:12" x14ac:dyDescent="0.3">
      <c r="A111" s="31">
        <v>111</v>
      </c>
      <c r="B111" s="33" t="s">
        <v>123</v>
      </c>
      <c r="C111" s="33" t="s">
        <v>24</v>
      </c>
      <c r="D111" s="17">
        <v>477150</v>
      </c>
      <c r="E111" s="7">
        <v>578673</v>
      </c>
      <c r="F111" s="17">
        <v>77056</v>
      </c>
      <c r="G111" s="17">
        <v>67</v>
      </c>
      <c r="H111" s="17">
        <v>26760</v>
      </c>
      <c r="I111" s="17">
        <v>27820</v>
      </c>
      <c r="J111" s="17">
        <v>95964</v>
      </c>
      <c r="K111" s="6">
        <v>2020</v>
      </c>
      <c r="L111" s="12">
        <f t="shared" si="1"/>
        <v>170622.25</v>
      </c>
    </row>
    <row r="112" spans="1:12" x14ac:dyDescent="0.3">
      <c r="A112" s="31">
        <v>112</v>
      </c>
      <c r="B112" s="33" t="s">
        <v>172</v>
      </c>
      <c r="C112" s="33" t="s">
        <v>90</v>
      </c>
      <c r="D112" s="17">
        <v>476870</v>
      </c>
      <c r="E112" s="7">
        <v>196832</v>
      </c>
      <c r="F112" s="17">
        <v>60055</v>
      </c>
      <c r="G112" s="17">
        <v>54</v>
      </c>
      <c r="H112" s="17">
        <v>46504</v>
      </c>
      <c r="I112" s="17">
        <v>32711</v>
      </c>
      <c r="J112" s="17">
        <v>76291</v>
      </c>
      <c r="K112" s="6">
        <v>2020</v>
      </c>
      <c r="L112" s="12">
        <f t="shared" si="1"/>
        <v>75847.75</v>
      </c>
    </row>
    <row r="113" spans="1:12" x14ac:dyDescent="0.3">
      <c r="A113" s="31">
        <v>113</v>
      </c>
      <c r="B113" s="33" t="s">
        <v>189</v>
      </c>
      <c r="C113" s="33" t="s">
        <v>90</v>
      </c>
      <c r="D113" s="17">
        <v>475060</v>
      </c>
      <c r="E113" s="7">
        <v>167238</v>
      </c>
      <c r="F113" s="17">
        <v>57037</v>
      </c>
      <c r="G113" s="17">
        <v>55</v>
      </c>
      <c r="H113" s="17">
        <v>58191</v>
      </c>
      <c r="I113" s="17">
        <v>74759</v>
      </c>
      <c r="J113" s="17">
        <v>70348</v>
      </c>
      <c r="K113" s="6">
        <v>2020</v>
      </c>
      <c r="L113" s="12">
        <f t="shared" si="1"/>
        <v>70616.5</v>
      </c>
    </row>
    <row r="114" spans="1:12" x14ac:dyDescent="0.3">
      <c r="A114" s="31">
        <v>114</v>
      </c>
      <c r="B114" s="33" t="s">
        <v>158</v>
      </c>
      <c r="C114" s="33" t="s">
        <v>90</v>
      </c>
      <c r="D114" s="17">
        <v>472930</v>
      </c>
      <c r="E114" s="7">
        <v>229367</v>
      </c>
      <c r="F114" s="17">
        <v>62882</v>
      </c>
      <c r="G114" s="17">
        <v>52</v>
      </c>
      <c r="H114" s="17">
        <v>54457</v>
      </c>
      <c r="I114" s="17">
        <v>29776</v>
      </c>
      <c r="J114" s="17">
        <v>88344</v>
      </c>
      <c r="K114" s="6">
        <v>2020</v>
      </c>
      <c r="L114" s="12">
        <f t="shared" si="1"/>
        <v>86676.5</v>
      </c>
    </row>
    <row r="115" spans="1:12" x14ac:dyDescent="0.3">
      <c r="A115" s="31">
        <v>115</v>
      </c>
      <c r="B115" s="33" t="s">
        <v>97</v>
      </c>
      <c r="C115" s="33" t="s">
        <v>90</v>
      </c>
      <c r="D115" s="17">
        <v>472410</v>
      </c>
      <c r="E115" s="7">
        <v>420324</v>
      </c>
      <c r="F115" s="17">
        <v>63759</v>
      </c>
      <c r="G115" s="17">
        <v>50</v>
      </c>
      <c r="H115" s="17">
        <v>62758</v>
      </c>
      <c r="I115" s="17">
        <v>38842</v>
      </c>
      <c r="J115" s="17">
        <v>91074</v>
      </c>
      <c r="K115" s="6">
        <v>2020</v>
      </c>
      <c r="L115" s="12">
        <f t="shared" si="1"/>
        <v>136710.25</v>
      </c>
    </row>
    <row r="116" spans="1:12" x14ac:dyDescent="0.3">
      <c r="A116" s="31">
        <v>116</v>
      </c>
      <c r="B116" s="33" t="s">
        <v>147</v>
      </c>
      <c r="C116" s="33" t="s">
        <v>62</v>
      </c>
      <c r="D116" s="17">
        <v>467680</v>
      </c>
      <c r="E116" s="7">
        <v>525981</v>
      </c>
      <c r="F116" s="17">
        <v>66852</v>
      </c>
      <c r="G116" s="17">
        <v>67</v>
      </c>
      <c r="H116" s="17">
        <v>54535</v>
      </c>
      <c r="I116" s="17">
        <v>18818</v>
      </c>
      <c r="J116" s="17">
        <v>80378</v>
      </c>
      <c r="K116" s="6">
        <v>2020</v>
      </c>
      <c r="L116" s="12">
        <f t="shared" si="1"/>
        <v>161842</v>
      </c>
    </row>
    <row r="117" spans="1:12" x14ac:dyDescent="0.3">
      <c r="A117" s="31">
        <v>117</v>
      </c>
      <c r="B117" s="33" t="s">
        <v>150</v>
      </c>
      <c r="C117" s="33" t="s">
        <v>62</v>
      </c>
      <c r="D117" s="17">
        <v>467260</v>
      </c>
      <c r="E117" s="7">
        <v>551319</v>
      </c>
      <c r="F117" s="17">
        <v>47248</v>
      </c>
      <c r="G117" s="17">
        <v>64</v>
      </c>
      <c r="H117" s="17">
        <v>70030</v>
      </c>
      <c r="I117" s="17">
        <v>8355</v>
      </c>
      <c r="J117" s="17">
        <v>67348</v>
      </c>
      <c r="K117" s="6">
        <v>2020</v>
      </c>
      <c r="L117" s="12">
        <f t="shared" si="1"/>
        <v>167149.25</v>
      </c>
    </row>
    <row r="118" spans="1:12" x14ac:dyDescent="0.3">
      <c r="A118" s="31">
        <v>118</v>
      </c>
      <c r="B118" s="33" t="s">
        <v>130</v>
      </c>
      <c r="C118" s="33" t="s">
        <v>24</v>
      </c>
      <c r="D118" s="17">
        <v>467240</v>
      </c>
      <c r="E118" s="7">
        <v>669837</v>
      </c>
      <c r="F118" s="17">
        <v>57269</v>
      </c>
      <c r="G118" s="17">
        <v>66</v>
      </c>
      <c r="H118" s="17">
        <v>43446</v>
      </c>
      <c r="I118" s="17">
        <v>48609</v>
      </c>
      <c r="J118" s="17">
        <v>73244</v>
      </c>
      <c r="K118" s="6">
        <v>2020</v>
      </c>
      <c r="L118" s="12">
        <f t="shared" si="1"/>
        <v>192638</v>
      </c>
    </row>
    <row r="119" spans="1:12" x14ac:dyDescent="0.3">
      <c r="A119" s="31">
        <v>119</v>
      </c>
      <c r="B119" s="33" t="s">
        <v>103</v>
      </c>
      <c r="C119" s="33" t="s">
        <v>24</v>
      </c>
      <c r="D119" s="17">
        <v>463340</v>
      </c>
      <c r="E119" s="7">
        <v>510959</v>
      </c>
      <c r="F119" s="17">
        <v>73672</v>
      </c>
      <c r="G119" s="17">
        <v>67</v>
      </c>
      <c r="H119" s="17">
        <v>61283</v>
      </c>
      <c r="I119" s="17">
        <v>16057</v>
      </c>
      <c r="J119" s="17">
        <v>71514</v>
      </c>
      <c r="K119" s="6">
        <v>2020</v>
      </c>
      <c r="L119" s="12">
        <f t="shared" si="1"/>
        <v>161478.5</v>
      </c>
    </row>
    <row r="120" spans="1:12" x14ac:dyDescent="0.3">
      <c r="A120" s="31">
        <v>120</v>
      </c>
      <c r="B120" s="33" t="s">
        <v>114</v>
      </c>
      <c r="C120" s="33" t="s">
        <v>90</v>
      </c>
      <c r="D120" s="17">
        <v>462360</v>
      </c>
      <c r="E120" s="7">
        <v>116317</v>
      </c>
      <c r="F120" s="17">
        <v>61723</v>
      </c>
      <c r="G120" s="17">
        <v>54</v>
      </c>
      <c r="H120" s="17">
        <v>80888</v>
      </c>
      <c r="I120" s="17">
        <v>38683</v>
      </c>
      <c r="J120" s="17">
        <v>69416</v>
      </c>
      <c r="K120" s="6">
        <v>2020</v>
      </c>
      <c r="L120" s="12">
        <f t="shared" si="1"/>
        <v>64732</v>
      </c>
    </row>
    <row r="121" spans="1:12" x14ac:dyDescent="0.3">
      <c r="A121" s="31">
        <v>121</v>
      </c>
      <c r="B121" s="33" t="s">
        <v>145</v>
      </c>
      <c r="C121" s="33" t="s">
        <v>90</v>
      </c>
      <c r="D121" s="17">
        <v>458300</v>
      </c>
      <c r="E121" s="7">
        <v>310029</v>
      </c>
      <c r="F121" s="17">
        <v>58484</v>
      </c>
      <c r="G121" s="17">
        <v>60</v>
      </c>
      <c r="H121" s="17">
        <v>74889</v>
      </c>
      <c r="I121" s="17">
        <v>69128</v>
      </c>
      <c r="J121" s="17">
        <v>87396</v>
      </c>
      <c r="K121" s="6">
        <v>2020</v>
      </c>
      <c r="L121" s="12">
        <f t="shared" si="1"/>
        <v>110850.5</v>
      </c>
    </row>
    <row r="122" spans="1:12" x14ac:dyDescent="0.3">
      <c r="A122" s="31">
        <v>122</v>
      </c>
      <c r="B122" s="33" t="s">
        <v>181</v>
      </c>
      <c r="C122" s="33" t="s">
        <v>90</v>
      </c>
      <c r="D122" s="17">
        <v>457110</v>
      </c>
      <c r="E122" s="7">
        <v>546688</v>
      </c>
      <c r="F122" s="17">
        <v>80497</v>
      </c>
      <c r="G122" s="17">
        <v>57</v>
      </c>
      <c r="H122" s="17">
        <v>64131</v>
      </c>
      <c r="I122" s="17">
        <v>13417</v>
      </c>
      <c r="J122" s="17">
        <v>89812</v>
      </c>
      <c r="K122" s="6">
        <v>2020</v>
      </c>
      <c r="L122" s="12">
        <f t="shared" si="1"/>
        <v>172829</v>
      </c>
    </row>
    <row r="123" spans="1:12" x14ac:dyDescent="0.3">
      <c r="A123" s="31">
        <v>123</v>
      </c>
      <c r="B123" s="33" t="s">
        <v>131</v>
      </c>
      <c r="C123" s="33" t="s">
        <v>62</v>
      </c>
      <c r="D123" s="17">
        <v>456070</v>
      </c>
      <c r="E123" s="7">
        <v>507872</v>
      </c>
      <c r="F123" s="17">
        <v>85380</v>
      </c>
      <c r="G123" s="17">
        <v>65</v>
      </c>
      <c r="H123" s="17">
        <v>46075</v>
      </c>
      <c r="I123" s="17">
        <v>31335</v>
      </c>
      <c r="J123" s="17">
        <v>98190</v>
      </c>
      <c r="K123" s="6">
        <v>2020</v>
      </c>
      <c r="L123" s="12">
        <f t="shared" si="1"/>
        <v>159831.75</v>
      </c>
    </row>
    <row r="124" spans="1:12" x14ac:dyDescent="0.3">
      <c r="A124" s="31">
        <v>124</v>
      </c>
      <c r="B124" s="33" t="s">
        <v>136</v>
      </c>
      <c r="C124" s="33" t="s">
        <v>90</v>
      </c>
      <c r="D124" s="17">
        <v>455790</v>
      </c>
      <c r="E124" s="7">
        <v>113298</v>
      </c>
      <c r="F124" s="17">
        <v>59496</v>
      </c>
      <c r="G124" s="17">
        <v>56</v>
      </c>
      <c r="H124" s="17">
        <v>58555</v>
      </c>
      <c r="I124" s="17">
        <v>39832</v>
      </c>
      <c r="J124" s="17">
        <v>90408</v>
      </c>
      <c r="K124" s="6">
        <v>2020</v>
      </c>
      <c r="L124" s="12">
        <f t="shared" si="1"/>
        <v>57837.25</v>
      </c>
    </row>
    <row r="125" spans="1:12" x14ac:dyDescent="0.3">
      <c r="A125" s="31">
        <v>125</v>
      </c>
      <c r="B125" s="33" t="s">
        <v>128</v>
      </c>
      <c r="C125" s="33" t="s">
        <v>24</v>
      </c>
      <c r="D125" s="17">
        <v>455280</v>
      </c>
      <c r="E125" s="7">
        <v>382526</v>
      </c>
      <c r="F125" s="17">
        <v>77202</v>
      </c>
      <c r="G125" s="17">
        <v>62</v>
      </c>
      <c r="H125" s="17">
        <v>43086</v>
      </c>
      <c r="I125" s="17">
        <v>16113</v>
      </c>
      <c r="J125" s="17">
        <v>86512</v>
      </c>
      <c r="K125" s="6">
        <v>2020</v>
      </c>
      <c r="L125" s="12">
        <f t="shared" si="1"/>
        <v>125703.5</v>
      </c>
    </row>
    <row r="126" spans="1:12" x14ac:dyDescent="0.3">
      <c r="A126" s="31">
        <v>126</v>
      </c>
      <c r="B126" s="33" t="s">
        <v>161</v>
      </c>
      <c r="C126" s="33" t="s">
        <v>90</v>
      </c>
      <c r="D126" s="17">
        <v>443200</v>
      </c>
      <c r="E126" s="7">
        <v>203255</v>
      </c>
      <c r="F126" s="17">
        <v>67999</v>
      </c>
      <c r="G126" s="17">
        <v>56</v>
      </c>
      <c r="H126" s="17">
        <v>57940</v>
      </c>
      <c r="I126" s="17">
        <v>46473</v>
      </c>
      <c r="J126" s="17">
        <v>88030</v>
      </c>
      <c r="K126" s="6">
        <v>2020</v>
      </c>
      <c r="L126" s="12">
        <f t="shared" si="1"/>
        <v>82298.5</v>
      </c>
    </row>
    <row r="127" spans="1:12" x14ac:dyDescent="0.3">
      <c r="A127" s="31">
        <v>127</v>
      </c>
      <c r="B127" s="33" t="s">
        <v>169</v>
      </c>
      <c r="C127" s="33" t="s">
        <v>90</v>
      </c>
      <c r="D127" s="17">
        <v>442270</v>
      </c>
      <c r="E127" s="7">
        <v>196715</v>
      </c>
      <c r="F127" s="17">
        <v>47760</v>
      </c>
      <c r="G127" s="17">
        <v>48</v>
      </c>
      <c r="H127" s="17">
        <v>32974</v>
      </c>
      <c r="I127" s="17">
        <v>36995</v>
      </c>
      <c r="J127" s="17">
        <v>83916</v>
      </c>
      <c r="K127" s="6">
        <v>2020</v>
      </c>
      <c r="L127" s="12">
        <f t="shared" si="1"/>
        <v>69362.25</v>
      </c>
    </row>
    <row r="128" spans="1:12" x14ac:dyDescent="0.3">
      <c r="A128" s="31">
        <v>128</v>
      </c>
      <c r="B128" s="33" t="s">
        <v>127</v>
      </c>
      <c r="C128" s="33" t="s">
        <v>24</v>
      </c>
      <c r="D128" s="17">
        <v>439220</v>
      </c>
      <c r="E128" s="7">
        <v>569243</v>
      </c>
      <c r="F128" s="17">
        <v>56357</v>
      </c>
      <c r="G128" s="17">
        <v>67</v>
      </c>
      <c r="H128" s="17">
        <v>34021</v>
      </c>
      <c r="I128" s="17">
        <v>9807</v>
      </c>
      <c r="J128" s="17">
        <v>91766</v>
      </c>
      <c r="K128" s="6">
        <v>2020</v>
      </c>
      <c r="L128" s="12">
        <f t="shared" si="1"/>
        <v>164905.25</v>
      </c>
    </row>
    <row r="129" spans="1:12" x14ac:dyDescent="0.3">
      <c r="A129" s="31">
        <v>129</v>
      </c>
      <c r="B129" s="33" t="s">
        <v>144</v>
      </c>
      <c r="C129" s="33" t="s">
        <v>24</v>
      </c>
      <c r="D129" s="17">
        <v>437460</v>
      </c>
      <c r="E129" s="7">
        <v>351203</v>
      </c>
      <c r="F129" s="17">
        <v>71940</v>
      </c>
      <c r="G129" s="17">
        <v>57</v>
      </c>
      <c r="H129" s="17">
        <v>26788</v>
      </c>
      <c r="I129" s="17">
        <v>22621</v>
      </c>
      <c r="J129" s="17">
        <v>77069</v>
      </c>
      <c r="K129" s="6">
        <v>2020</v>
      </c>
      <c r="L129" s="12">
        <f t="shared" si="1"/>
        <v>112482.75</v>
      </c>
    </row>
    <row r="130" spans="1:12" x14ac:dyDescent="0.3">
      <c r="A130" s="31">
        <v>130</v>
      </c>
      <c r="B130" s="33" t="s">
        <v>152</v>
      </c>
      <c r="C130" s="33" t="s">
        <v>99</v>
      </c>
      <c r="D130" s="17">
        <v>432700</v>
      </c>
      <c r="E130" s="7">
        <v>584370</v>
      </c>
      <c r="F130" s="17">
        <v>77214</v>
      </c>
      <c r="G130" s="17">
        <v>67</v>
      </c>
      <c r="H130" s="17">
        <v>76252</v>
      </c>
      <c r="I130" s="17">
        <v>44342</v>
      </c>
      <c r="J130" s="17">
        <v>90726</v>
      </c>
      <c r="K130" s="6">
        <v>2020</v>
      </c>
      <c r="L130" s="12">
        <f t="shared" si="1"/>
        <v>184459</v>
      </c>
    </row>
    <row r="131" spans="1:12" x14ac:dyDescent="0.3">
      <c r="A131" s="31">
        <v>131</v>
      </c>
      <c r="B131" s="33" t="s">
        <v>140</v>
      </c>
      <c r="C131" s="33" t="s">
        <v>90</v>
      </c>
      <c r="D131" s="17">
        <v>431100</v>
      </c>
      <c r="E131" s="7">
        <v>40664</v>
      </c>
      <c r="F131" s="17">
        <v>53830</v>
      </c>
      <c r="G131" s="17">
        <v>53</v>
      </c>
      <c r="H131" s="17">
        <v>52595</v>
      </c>
      <c r="I131" s="17">
        <v>44633</v>
      </c>
      <c r="J131" s="17">
        <v>84720</v>
      </c>
      <c r="K131" s="6">
        <v>2020</v>
      </c>
      <c r="L131" s="12">
        <f t="shared" ref="L131:L194" si="2">AVERAGE(E131,F131,H131,)</f>
        <v>36772.25</v>
      </c>
    </row>
    <row r="132" spans="1:12" x14ac:dyDescent="0.3">
      <c r="A132" s="31">
        <v>132</v>
      </c>
      <c r="B132" s="33" t="s">
        <v>194</v>
      </c>
      <c r="C132" s="33" t="s">
        <v>90</v>
      </c>
      <c r="D132" s="17">
        <v>430810</v>
      </c>
      <c r="E132" s="7">
        <v>538526</v>
      </c>
      <c r="F132" s="17">
        <v>68807</v>
      </c>
      <c r="G132" s="17">
        <v>51</v>
      </c>
      <c r="H132" s="17">
        <v>43264</v>
      </c>
      <c r="I132" s="17">
        <v>11805</v>
      </c>
      <c r="J132" s="17">
        <v>72473</v>
      </c>
      <c r="K132" s="6">
        <v>2020</v>
      </c>
      <c r="L132" s="12">
        <f t="shared" si="2"/>
        <v>162649.25</v>
      </c>
    </row>
    <row r="133" spans="1:12" x14ac:dyDescent="0.3">
      <c r="A133" s="31">
        <v>133</v>
      </c>
      <c r="B133" s="33" t="s">
        <v>149</v>
      </c>
      <c r="C133" s="33" t="s">
        <v>39</v>
      </c>
      <c r="D133" s="17">
        <v>430800</v>
      </c>
      <c r="E133" s="7">
        <v>441271</v>
      </c>
      <c r="F133" s="17">
        <v>70962</v>
      </c>
      <c r="G133" s="17">
        <v>59</v>
      </c>
      <c r="H133" s="17">
        <v>86183</v>
      </c>
      <c r="I133" s="17">
        <v>100000</v>
      </c>
      <c r="J133" s="17">
        <v>64827</v>
      </c>
      <c r="K133" s="6">
        <v>2020</v>
      </c>
      <c r="L133" s="12">
        <f t="shared" si="2"/>
        <v>149604</v>
      </c>
    </row>
    <row r="134" spans="1:12" x14ac:dyDescent="0.3">
      <c r="A134" s="31">
        <v>134</v>
      </c>
      <c r="B134" s="33" t="s">
        <v>160</v>
      </c>
      <c r="C134" s="33" t="s">
        <v>90</v>
      </c>
      <c r="D134" s="17">
        <v>428860</v>
      </c>
      <c r="E134" s="7">
        <v>270467</v>
      </c>
      <c r="F134" s="17">
        <v>46734</v>
      </c>
      <c r="G134" s="17">
        <v>57</v>
      </c>
      <c r="H134" s="17">
        <v>26112</v>
      </c>
      <c r="I134" s="17">
        <v>45372</v>
      </c>
      <c r="J134" s="17">
        <v>81235</v>
      </c>
      <c r="K134" s="6">
        <v>2020</v>
      </c>
      <c r="L134" s="12">
        <f t="shared" si="2"/>
        <v>85828.25</v>
      </c>
    </row>
    <row r="135" spans="1:12" x14ac:dyDescent="0.3">
      <c r="A135" s="31">
        <v>135</v>
      </c>
      <c r="B135" s="33" t="s">
        <v>178</v>
      </c>
      <c r="C135" s="33" t="s">
        <v>90</v>
      </c>
      <c r="D135" s="17">
        <v>418720</v>
      </c>
      <c r="E135" s="7">
        <v>174478</v>
      </c>
      <c r="F135" s="17">
        <v>35386</v>
      </c>
      <c r="G135" s="17">
        <v>55</v>
      </c>
      <c r="H135" s="17">
        <v>43784</v>
      </c>
      <c r="I135" s="17">
        <v>35235</v>
      </c>
      <c r="J135" s="17">
        <v>78463</v>
      </c>
      <c r="K135" s="6">
        <v>2020</v>
      </c>
      <c r="L135" s="12">
        <f t="shared" si="2"/>
        <v>63412</v>
      </c>
    </row>
    <row r="136" spans="1:12" x14ac:dyDescent="0.3">
      <c r="A136" s="31">
        <v>136</v>
      </c>
      <c r="B136" s="33" t="s">
        <v>142</v>
      </c>
      <c r="C136" s="33" t="s">
        <v>90</v>
      </c>
      <c r="D136" s="17">
        <v>418620</v>
      </c>
      <c r="E136" s="7">
        <v>205070</v>
      </c>
      <c r="F136" s="17">
        <v>64689</v>
      </c>
      <c r="G136" s="17">
        <v>59</v>
      </c>
      <c r="H136" s="17">
        <v>59510</v>
      </c>
      <c r="I136" s="17">
        <v>39960</v>
      </c>
      <c r="J136" s="17">
        <v>77973</v>
      </c>
      <c r="K136" s="6">
        <v>2020</v>
      </c>
      <c r="L136" s="12">
        <f t="shared" si="2"/>
        <v>82317.25</v>
      </c>
    </row>
    <row r="137" spans="1:12" x14ac:dyDescent="0.3">
      <c r="A137" s="31">
        <v>137</v>
      </c>
      <c r="B137" s="33" t="s">
        <v>167</v>
      </c>
      <c r="C137" s="33" t="s">
        <v>90</v>
      </c>
      <c r="D137" s="17">
        <v>416560</v>
      </c>
      <c r="E137" s="7">
        <v>159144</v>
      </c>
      <c r="F137" s="17">
        <v>53225</v>
      </c>
      <c r="G137" s="17">
        <v>59</v>
      </c>
      <c r="H137" s="17">
        <v>27834</v>
      </c>
      <c r="I137" s="17">
        <v>33553</v>
      </c>
      <c r="J137" s="17">
        <v>85699</v>
      </c>
      <c r="K137" s="6">
        <v>2020</v>
      </c>
      <c r="L137" s="12">
        <f t="shared" si="2"/>
        <v>60050.75</v>
      </c>
    </row>
    <row r="138" spans="1:12" x14ac:dyDescent="0.3">
      <c r="A138" s="31">
        <v>138</v>
      </c>
      <c r="B138" s="33" t="s">
        <v>155</v>
      </c>
      <c r="C138" s="33" t="s">
        <v>24</v>
      </c>
      <c r="D138" s="17">
        <v>415140</v>
      </c>
      <c r="E138" s="7">
        <v>569560</v>
      </c>
      <c r="F138" s="17">
        <v>63489</v>
      </c>
      <c r="G138" s="17">
        <v>62</v>
      </c>
      <c r="H138" s="17">
        <v>53902</v>
      </c>
      <c r="I138" s="17">
        <v>12074</v>
      </c>
      <c r="J138" s="17">
        <v>82095</v>
      </c>
      <c r="K138" s="6">
        <v>2020</v>
      </c>
      <c r="L138" s="12">
        <f t="shared" si="2"/>
        <v>171737.75</v>
      </c>
    </row>
    <row r="139" spans="1:12" x14ac:dyDescent="0.3">
      <c r="A139" s="31">
        <v>139</v>
      </c>
      <c r="B139" s="33" t="s">
        <v>143</v>
      </c>
      <c r="C139" s="33" t="s">
        <v>90</v>
      </c>
      <c r="D139" s="17">
        <v>392640</v>
      </c>
      <c r="E139" s="7">
        <v>156546</v>
      </c>
      <c r="F139" s="17">
        <v>48333</v>
      </c>
      <c r="G139" s="17">
        <v>51</v>
      </c>
      <c r="H139" s="17">
        <v>55105</v>
      </c>
      <c r="I139" s="17">
        <v>45216</v>
      </c>
      <c r="J139" s="17">
        <v>91008</v>
      </c>
      <c r="K139" s="6">
        <v>2020</v>
      </c>
      <c r="L139" s="12">
        <f t="shared" si="2"/>
        <v>64996</v>
      </c>
    </row>
    <row r="140" spans="1:12" x14ac:dyDescent="0.3">
      <c r="A140" s="31">
        <v>140</v>
      </c>
      <c r="B140" s="33" t="s">
        <v>177</v>
      </c>
      <c r="C140" s="33" t="s">
        <v>90</v>
      </c>
      <c r="D140" s="17">
        <v>377530</v>
      </c>
      <c r="E140" s="7">
        <v>0</v>
      </c>
      <c r="F140" s="17">
        <v>26078</v>
      </c>
      <c r="G140" s="17">
        <v>53</v>
      </c>
      <c r="H140" s="17">
        <v>39725</v>
      </c>
      <c r="I140" s="17">
        <v>32888</v>
      </c>
      <c r="J140" s="17">
        <v>60202</v>
      </c>
      <c r="K140" s="6">
        <v>2020</v>
      </c>
      <c r="L140" s="12">
        <f t="shared" si="2"/>
        <v>16450.75</v>
      </c>
    </row>
    <row r="141" spans="1:12" x14ac:dyDescent="0.3">
      <c r="A141" s="31">
        <v>141</v>
      </c>
      <c r="B141" s="33" t="s">
        <v>105</v>
      </c>
      <c r="C141" s="33" t="s">
        <v>90</v>
      </c>
      <c r="D141" s="17">
        <v>375940</v>
      </c>
      <c r="E141" s="7">
        <v>349347</v>
      </c>
      <c r="F141" s="17">
        <v>57900</v>
      </c>
      <c r="G141" s="17">
        <v>55</v>
      </c>
      <c r="H141" s="17">
        <v>70870</v>
      </c>
      <c r="I141" s="17">
        <v>43983</v>
      </c>
      <c r="J141" s="17">
        <v>83738</v>
      </c>
      <c r="K141" s="6">
        <v>2020</v>
      </c>
      <c r="L141" s="12">
        <f t="shared" si="2"/>
        <v>119529.25</v>
      </c>
    </row>
    <row r="142" spans="1:12" x14ac:dyDescent="0.3">
      <c r="A142" s="31">
        <v>142</v>
      </c>
      <c r="B142" s="33" t="s">
        <v>139</v>
      </c>
      <c r="C142" s="33" t="s">
        <v>26</v>
      </c>
      <c r="D142" s="17">
        <v>372080</v>
      </c>
      <c r="E142" s="7">
        <v>185292</v>
      </c>
      <c r="F142" s="17">
        <v>41786</v>
      </c>
      <c r="G142" s="17">
        <v>56</v>
      </c>
      <c r="H142" s="17">
        <v>24420</v>
      </c>
      <c r="I142" s="17">
        <v>81414</v>
      </c>
      <c r="J142" s="17">
        <v>69627</v>
      </c>
      <c r="K142" s="6">
        <v>2020</v>
      </c>
      <c r="L142" s="12">
        <f t="shared" si="2"/>
        <v>62874.5</v>
      </c>
    </row>
    <row r="143" spans="1:12" x14ac:dyDescent="0.3">
      <c r="A143" s="31">
        <v>143</v>
      </c>
      <c r="B143" s="33" t="s">
        <v>117</v>
      </c>
      <c r="C143" s="33" t="s">
        <v>90</v>
      </c>
      <c r="D143" s="17">
        <v>365280</v>
      </c>
      <c r="E143" s="7">
        <v>296054</v>
      </c>
      <c r="F143" s="17">
        <v>70365</v>
      </c>
      <c r="G143" s="17">
        <v>48</v>
      </c>
      <c r="H143" s="17">
        <v>59049</v>
      </c>
      <c r="I143" s="17">
        <v>18011</v>
      </c>
      <c r="J143" s="17">
        <v>90531</v>
      </c>
      <c r="K143" s="6">
        <v>2020</v>
      </c>
      <c r="L143" s="12">
        <f t="shared" si="2"/>
        <v>106367</v>
      </c>
    </row>
    <row r="144" spans="1:12" x14ac:dyDescent="0.3">
      <c r="A144" s="31">
        <v>144</v>
      </c>
      <c r="B144" s="33" t="s">
        <v>137</v>
      </c>
      <c r="C144" s="33" t="s">
        <v>99</v>
      </c>
      <c r="D144" s="17">
        <v>357330</v>
      </c>
      <c r="E144" s="7">
        <v>475426</v>
      </c>
      <c r="F144" s="17">
        <v>41627</v>
      </c>
      <c r="G144" s="17">
        <v>60</v>
      </c>
      <c r="H144" s="17">
        <v>83826</v>
      </c>
      <c r="I144" s="17">
        <v>41605</v>
      </c>
      <c r="J144" s="17">
        <v>80196</v>
      </c>
      <c r="K144" s="6">
        <v>2020</v>
      </c>
      <c r="L144" s="12">
        <f t="shared" si="2"/>
        <v>150219.75</v>
      </c>
    </row>
    <row r="145" spans="1:12" x14ac:dyDescent="0.3">
      <c r="A145" s="31">
        <v>145</v>
      </c>
      <c r="B145" s="33" t="s">
        <v>151</v>
      </c>
      <c r="C145" s="33" t="s">
        <v>90</v>
      </c>
      <c r="D145" s="17">
        <v>353800</v>
      </c>
      <c r="E145" s="7">
        <v>114881</v>
      </c>
      <c r="F145" s="17">
        <v>34271</v>
      </c>
      <c r="G145" s="17">
        <v>58</v>
      </c>
      <c r="H145" s="17">
        <v>70303</v>
      </c>
      <c r="I145" s="17">
        <v>37413</v>
      </c>
      <c r="J145" s="17">
        <v>75311</v>
      </c>
      <c r="K145" s="6">
        <v>2020</v>
      </c>
      <c r="L145" s="12">
        <f t="shared" si="2"/>
        <v>54863.75</v>
      </c>
    </row>
    <row r="146" spans="1:12" x14ac:dyDescent="0.3">
      <c r="A146" s="31">
        <v>146</v>
      </c>
      <c r="B146" s="33" t="s">
        <v>156</v>
      </c>
      <c r="C146" s="33" t="s">
        <v>24</v>
      </c>
      <c r="D146" s="17">
        <v>352740</v>
      </c>
      <c r="E146" s="7">
        <v>255553</v>
      </c>
      <c r="F146" s="17">
        <v>76086</v>
      </c>
      <c r="G146" s="17">
        <v>57</v>
      </c>
      <c r="H146" s="17">
        <v>35155</v>
      </c>
      <c r="I146" s="17">
        <v>16618</v>
      </c>
      <c r="J146" s="17">
        <v>83616</v>
      </c>
      <c r="K146" s="6">
        <v>2020</v>
      </c>
      <c r="L146" s="12">
        <f t="shared" si="2"/>
        <v>91698.5</v>
      </c>
    </row>
    <row r="147" spans="1:12" x14ac:dyDescent="0.3">
      <c r="A147" s="31">
        <v>147</v>
      </c>
      <c r="B147" s="33" t="s">
        <v>148</v>
      </c>
      <c r="C147" s="33" t="s">
        <v>90</v>
      </c>
      <c r="D147" s="17">
        <v>347890</v>
      </c>
      <c r="E147" s="7">
        <v>649160</v>
      </c>
      <c r="F147" s="17">
        <v>70155</v>
      </c>
      <c r="G147" s="17">
        <v>59</v>
      </c>
      <c r="H147" s="17">
        <v>73433</v>
      </c>
      <c r="I147" s="17">
        <v>5863</v>
      </c>
      <c r="J147" s="17">
        <v>80909</v>
      </c>
      <c r="K147" s="6">
        <v>2020</v>
      </c>
      <c r="L147" s="12">
        <f t="shared" si="2"/>
        <v>198187</v>
      </c>
    </row>
    <row r="148" spans="1:12" x14ac:dyDescent="0.3">
      <c r="A148" s="31">
        <v>148</v>
      </c>
      <c r="B148" s="33" t="s">
        <v>166</v>
      </c>
      <c r="C148" s="33" t="s">
        <v>90</v>
      </c>
      <c r="D148" s="17">
        <v>347620</v>
      </c>
      <c r="E148" s="7">
        <v>297501</v>
      </c>
      <c r="F148" s="17">
        <v>56390</v>
      </c>
      <c r="G148" s="17">
        <v>57</v>
      </c>
      <c r="H148" s="17">
        <v>73470</v>
      </c>
      <c r="I148" s="17">
        <v>47654</v>
      </c>
      <c r="J148" s="17">
        <v>61760</v>
      </c>
      <c r="K148" s="6">
        <v>2020</v>
      </c>
      <c r="L148" s="12">
        <f t="shared" si="2"/>
        <v>106840.25</v>
      </c>
    </row>
    <row r="149" spans="1:12" x14ac:dyDescent="0.3">
      <c r="A149" s="31">
        <v>149</v>
      </c>
      <c r="B149" s="33" t="s">
        <v>168</v>
      </c>
      <c r="C149" s="33" t="s">
        <v>90</v>
      </c>
      <c r="D149" s="17">
        <v>347590</v>
      </c>
      <c r="E149" s="7">
        <v>26728</v>
      </c>
      <c r="F149" s="17">
        <v>0</v>
      </c>
      <c r="G149" s="17">
        <v>45</v>
      </c>
      <c r="H149" s="17">
        <v>42237</v>
      </c>
      <c r="I149" s="17">
        <v>44491</v>
      </c>
      <c r="J149" s="17">
        <v>94699</v>
      </c>
      <c r="K149" s="6">
        <v>2020</v>
      </c>
      <c r="L149" s="12">
        <f t="shared" si="2"/>
        <v>17241.25</v>
      </c>
    </row>
    <row r="150" spans="1:12" x14ac:dyDescent="0.3">
      <c r="A150" s="31">
        <v>150</v>
      </c>
      <c r="B150" s="33" t="s">
        <v>174</v>
      </c>
      <c r="C150" s="33" t="s">
        <v>90</v>
      </c>
      <c r="D150" s="17">
        <v>331230</v>
      </c>
      <c r="E150" s="7">
        <v>223367</v>
      </c>
      <c r="F150" s="17">
        <v>33787</v>
      </c>
      <c r="G150" s="17">
        <v>61</v>
      </c>
      <c r="H150" s="17">
        <v>87136</v>
      </c>
      <c r="I150" s="17">
        <v>41365</v>
      </c>
      <c r="J150" s="17">
        <v>8932</v>
      </c>
      <c r="K150" s="6">
        <v>2020</v>
      </c>
      <c r="L150" s="12">
        <f t="shared" si="2"/>
        <v>86072.5</v>
      </c>
    </row>
    <row r="151" spans="1:12" x14ac:dyDescent="0.3">
      <c r="A151" s="31">
        <v>151</v>
      </c>
      <c r="B151" s="33" t="s">
        <v>135</v>
      </c>
      <c r="C151" s="33" t="s">
        <v>90</v>
      </c>
      <c r="D151" s="17">
        <v>329920</v>
      </c>
      <c r="E151" s="7">
        <v>276938</v>
      </c>
      <c r="F151" s="17">
        <v>67709</v>
      </c>
      <c r="G151" s="17">
        <v>56</v>
      </c>
      <c r="H151" s="17">
        <v>54438</v>
      </c>
      <c r="I151" s="17">
        <v>26561</v>
      </c>
      <c r="J151" s="17">
        <v>84821</v>
      </c>
      <c r="K151" s="6">
        <v>2020</v>
      </c>
      <c r="L151" s="12">
        <f t="shared" si="2"/>
        <v>99771.25</v>
      </c>
    </row>
    <row r="152" spans="1:12" x14ac:dyDescent="0.3">
      <c r="A152" s="31">
        <v>152</v>
      </c>
      <c r="B152" s="33" t="s">
        <v>180</v>
      </c>
      <c r="C152" s="33" t="s">
        <v>90</v>
      </c>
      <c r="D152" s="17">
        <v>281660</v>
      </c>
      <c r="E152" s="7">
        <v>188122</v>
      </c>
      <c r="F152" s="17">
        <v>35751</v>
      </c>
      <c r="G152" s="17">
        <v>51</v>
      </c>
      <c r="H152" s="17">
        <v>9464</v>
      </c>
      <c r="I152" s="17">
        <v>36843</v>
      </c>
      <c r="J152" s="17">
        <v>79151</v>
      </c>
      <c r="K152" s="6">
        <v>2020</v>
      </c>
      <c r="L152" s="12">
        <f t="shared" si="2"/>
        <v>58334.25</v>
      </c>
    </row>
    <row r="153" spans="1:12" x14ac:dyDescent="0.3">
      <c r="A153" s="31">
        <v>153</v>
      </c>
      <c r="B153" s="33" t="s">
        <v>173</v>
      </c>
      <c r="C153" s="33" t="s">
        <v>99</v>
      </c>
      <c r="D153" s="17">
        <v>256690</v>
      </c>
      <c r="E153" s="7">
        <v>195686</v>
      </c>
      <c r="F153" s="17">
        <v>23032</v>
      </c>
      <c r="G153" s="17">
        <v>53</v>
      </c>
      <c r="H153" s="17">
        <v>0</v>
      </c>
      <c r="I153" s="17">
        <v>23733</v>
      </c>
      <c r="J153" s="17">
        <v>99770</v>
      </c>
      <c r="K153" s="6">
        <v>2020</v>
      </c>
      <c r="L153" s="12">
        <f t="shared" si="2"/>
        <v>54679.5</v>
      </c>
    </row>
    <row r="154" spans="1:12" x14ac:dyDescent="0.3">
      <c r="A154" s="31">
        <v>1</v>
      </c>
      <c r="B154" s="33" t="s">
        <v>18</v>
      </c>
      <c r="C154" s="33" t="s">
        <v>12</v>
      </c>
      <c r="D154" s="17">
        <v>784210</v>
      </c>
      <c r="E154" s="7">
        <v>826118</v>
      </c>
      <c r="F154" s="17">
        <v>94362</v>
      </c>
      <c r="G154" s="17">
        <v>72</v>
      </c>
      <c r="H154" s="17">
        <v>96454</v>
      </c>
      <c r="I154" s="17">
        <v>22947</v>
      </c>
      <c r="J154" s="17">
        <v>12117</v>
      </c>
      <c r="K154" s="6">
        <v>2021</v>
      </c>
      <c r="L154" s="12">
        <f t="shared" si="2"/>
        <v>254233.5</v>
      </c>
    </row>
    <row r="155" spans="1:12" x14ac:dyDescent="0.3">
      <c r="A155" s="31">
        <v>2</v>
      </c>
      <c r="B155" s="33" t="s">
        <v>14</v>
      </c>
      <c r="C155" s="33" t="s">
        <v>12</v>
      </c>
      <c r="D155" s="17">
        <v>761950</v>
      </c>
      <c r="E155" s="7">
        <v>857642</v>
      </c>
      <c r="F155" s="17">
        <v>94517</v>
      </c>
      <c r="G155" s="17">
        <v>73</v>
      </c>
      <c r="H155" s="17">
        <v>95837</v>
      </c>
      <c r="I155" s="17">
        <v>38358</v>
      </c>
      <c r="J155" s="17">
        <v>11299</v>
      </c>
      <c r="K155" s="6">
        <v>2021</v>
      </c>
      <c r="L155" s="12">
        <f t="shared" si="2"/>
        <v>261999</v>
      </c>
    </row>
    <row r="156" spans="1:12" x14ac:dyDescent="0.3">
      <c r="A156" s="31">
        <v>3</v>
      </c>
      <c r="B156" s="33" t="s">
        <v>11</v>
      </c>
      <c r="C156" s="33" t="s">
        <v>12</v>
      </c>
      <c r="D156" s="17">
        <v>757150</v>
      </c>
      <c r="E156" s="7">
        <v>894398</v>
      </c>
      <c r="F156" s="17">
        <v>92083</v>
      </c>
      <c r="G156" s="17">
        <v>74</v>
      </c>
      <c r="H156" s="17">
        <v>91274</v>
      </c>
      <c r="I156" s="17">
        <v>37698</v>
      </c>
      <c r="J156" s="17">
        <v>24463</v>
      </c>
      <c r="K156" s="6">
        <v>2021</v>
      </c>
      <c r="L156" s="12">
        <f t="shared" si="2"/>
        <v>269438.75</v>
      </c>
    </row>
    <row r="157" spans="1:12" x14ac:dyDescent="0.3">
      <c r="A157" s="31">
        <v>4</v>
      </c>
      <c r="B157" s="33" t="s">
        <v>13</v>
      </c>
      <c r="C157" s="33" t="s">
        <v>12</v>
      </c>
      <c r="D157" s="17">
        <v>755390</v>
      </c>
      <c r="E157" s="7">
        <v>846586</v>
      </c>
      <c r="F157" s="17">
        <v>100000</v>
      </c>
      <c r="G157" s="17">
        <v>73</v>
      </c>
      <c r="H157" s="17">
        <v>97449</v>
      </c>
      <c r="I157" s="17">
        <v>54046</v>
      </c>
      <c r="J157" s="17">
        <v>68920</v>
      </c>
      <c r="K157" s="6">
        <v>2021</v>
      </c>
      <c r="L157" s="12">
        <f t="shared" si="2"/>
        <v>261008.75</v>
      </c>
    </row>
    <row r="158" spans="1:12" x14ac:dyDescent="0.3">
      <c r="A158" s="31">
        <v>5</v>
      </c>
      <c r="B158" s="33" t="s">
        <v>19</v>
      </c>
      <c r="C158" s="33" t="s">
        <v>12</v>
      </c>
      <c r="D158" s="17">
        <v>746400</v>
      </c>
      <c r="E158" s="7">
        <v>857370</v>
      </c>
      <c r="F158" s="17">
        <v>92056</v>
      </c>
      <c r="G158" s="17">
        <v>72</v>
      </c>
      <c r="H158" s="17">
        <v>90310</v>
      </c>
      <c r="I158" s="17">
        <v>55870</v>
      </c>
      <c r="J158" s="17">
        <v>29856</v>
      </c>
      <c r="K158" s="6">
        <v>2021</v>
      </c>
      <c r="L158" s="12">
        <f t="shared" si="2"/>
        <v>259934</v>
      </c>
    </row>
    <row r="159" spans="1:12" x14ac:dyDescent="0.3">
      <c r="A159" s="31">
        <v>6</v>
      </c>
      <c r="B159" s="33" t="s">
        <v>15</v>
      </c>
      <c r="C159" s="33" t="s">
        <v>12</v>
      </c>
      <c r="D159" s="17">
        <v>739250</v>
      </c>
      <c r="E159" s="7">
        <v>881579</v>
      </c>
      <c r="F159" s="17">
        <v>94524</v>
      </c>
      <c r="G159" s="17">
        <v>73</v>
      </c>
      <c r="H159" s="17">
        <v>98208</v>
      </c>
      <c r="I159" s="17">
        <v>45990</v>
      </c>
      <c r="J159" s="17">
        <v>21935</v>
      </c>
      <c r="K159" s="6">
        <v>2021</v>
      </c>
      <c r="L159" s="12">
        <f t="shared" si="2"/>
        <v>268577.75</v>
      </c>
    </row>
    <row r="160" spans="1:12" x14ac:dyDescent="0.3">
      <c r="A160" s="31">
        <v>7</v>
      </c>
      <c r="B160" s="33" t="s">
        <v>20</v>
      </c>
      <c r="C160" s="33" t="s">
        <v>12</v>
      </c>
      <c r="D160" s="17">
        <v>736270</v>
      </c>
      <c r="E160" s="7">
        <v>844436</v>
      </c>
      <c r="F160" s="17">
        <v>90558</v>
      </c>
      <c r="G160" s="17">
        <v>73</v>
      </c>
      <c r="H160" s="17">
        <v>95662</v>
      </c>
      <c r="I160" s="17">
        <v>45121</v>
      </c>
      <c r="J160" s="17">
        <v>18137</v>
      </c>
      <c r="K160" s="6">
        <v>2021</v>
      </c>
      <c r="L160" s="12">
        <f t="shared" si="2"/>
        <v>257664</v>
      </c>
    </row>
    <row r="161" spans="1:12" x14ac:dyDescent="0.3">
      <c r="A161" s="31">
        <v>8</v>
      </c>
      <c r="B161" s="33" t="s">
        <v>31</v>
      </c>
      <c r="C161" s="33" t="s">
        <v>12</v>
      </c>
      <c r="D161" s="17">
        <v>732440</v>
      </c>
      <c r="E161" s="7">
        <v>1000000</v>
      </c>
      <c r="F161" s="17">
        <v>85558</v>
      </c>
      <c r="G161" s="17">
        <v>73</v>
      </c>
      <c r="H161" s="17">
        <v>89301</v>
      </c>
      <c r="I161" s="17">
        <v>30684</v>
      </c>
      <c r="J161" s="17">
        <v>35510</v>
      </c>
      <c r="K161" s="6">
        <v>2021</v>
      </c>
      <c r="L161" s="12">
        <f t="shared" si="2"/>
        <v>293714.75</v>
      </c>
    </row>
    <row r="162" spans="1:12" x14ac:dyDescent="0.3">
      <c r="A162" s="31">
        <v>9</v>
      </c>
      <c r="B162" s="33" t="s">
        <v>21</v>
      </c>
      <c r="C162" s="33" t="s">
        <v>17</v>
      </c>
      <c r="D162" s="17">
        <v>727660</v>
      </c>
      <c r="E162" s="7">
        <v>799680</v>
      </c>
      <c r="F162" s="17">
        <v>93314</v>
      </c>
      <c r="G162" s="17">
        <v>73</v>
      </c>
      <c r="H162" s="17">
        <v>92938</v>
      </c>
      <c r="I162" s="17">
        <v>50911</v>
      </c>
      <c r="J162" s="17">
        <v>18624</v>
      </c>
      <c r="K162" s="6">
        <v>2021</v>
      </c>
      <c r="L162" s="12">
        <f t="shared" si="2"/>
        <v>246483</v>
      </c>
    </row>
    <row r="163" spans="1:12" x14ac:dyDescent="0.3">
      <c r="A163" s="31">
        <v>10</v>
      </c>
      <c r="B163" s="33" t="s">
        <v>27</v>
      </c>
      <c r="C163" s="33" t="s">
        <v>12</v>
      </c>
      <c r="D163" s="17">
        <v>726780</v>
      </c>
      <c r="E163" s="7">
        <v>852282</v>
      </c>
      <c r="F163" s="17">
        <v>90629</v>
      </c>
      <c r="G163" s="17">
        <v>73</v>
      </c>
      <c r="H163" s="17">
        <v>89388</v>
      </c>
      <c r="I163" s="17">
        <v>39740</v>
      </c>
      <c r="J163" s="17">
        <v>46586</v>
      </c>
      <c r="K163" s="6">
        <v>2021</v>
      </c>
      <c r="L163" s="12">
        <f t="shared" si="2"/>
        <v>258074.75</v>
      </c>
    </row>
    <row r="164" spans="1:12" x14ac:dyDescent="0.3">
      <c r="A164" s="31">
        <v>11</v>
      </c>
      <c r="B164" s="33" t="s">
        <v>22</v>
      </c>
      <c r="C164" s="33" t="s">
        <v>17</v>
      </c>
      <c r="D164" s="17">
        <v>718350</v>
      </c>
      <c r="E164" s="7">
        <v>830190</v>
      </c>
      <c r="F164" s="17">
        <v>91777</v>
      </c>
      <c r="G164" s="17">
        <v>74</v>
      </c>
      <c r="H164" s="17">
        <v>90401</v>
      </c>
      <c r="I164" s="17">
        <v>53836</v>
      </c>
      <c r="J164" s="17">
        <v>42027</v>
      </c>
      <c r="K164" s="6">
        <v>2021</v>
      </c>
      <c r="L164" s="12">
        <f t="shared" si="2"/>
        <v>253092</v>
      </c>
    </row>
    <row r="165" spans="1:12" x14ac:dyDescent="0.3">
      <c r="A165" s="31">
        <v>12</v>
      </c>
      <c r="B165" s="33" t="s">
        <v>23</v>
      </c>
      <c r="C165" s="33" t="s">
        <v>24</v>
      </c>
      <c r="D165" s="17">
        <v>715710</v>
      </c>
      <c r="E165" s="7">
        <v>786120</v>
      </c>
      <c r="F165" s="17">
        <v>91600</v>
      </c>
      <c r="G165" s="17">
        <v>74</v>
      </c>
      <c r="H165" s="17">
        <v>71090</v>
      </c>
      <c r="I165" s="17">
        <v>38427</v>
      </c>
      <c r="J165" s="17">
        <v>78279</v>
      </c>
      <c r="K165" s="6">
        <v>2021</v>
      </c>
      <c r="L165" s="12">
        <f t="shared" si="2"/>
        <v>237202.5</v>
      </c>
    </row>
    <row r="166" spans="1:12" x14ac:dyDescent="0.3">
      <c r="A166" s="31">
        <v>13</v>
      </c>
      <c r="B166" s="33" t="s">
        <v>41</v>
      </c>
      <c r="C166" s="33" t="s">
        <v>12</v>
      </c>
      <c r="D166" s="17">
        <v>715450</v>
      </c>
      <c r="E166" s="7">
        <v>845544</v>
      </c>
      <c r="F166" s="17">
        <v>84669</v>
      </c>
      <c r="G166" s="17">
        <v>73</v>
      </c>
      <c r="H166" s="17">
        <v>83861</v>
      </c>
      <c r="I166" s="17">
        <v>36012</v>
      </c>
      <c r="J166" s="17">
        <v>44109</v>
      </c>
      <c r="K166" s="6">
        <v>2021</v>
      </c>
      <c r="L166" s="12">
        <f t="shared" si="2"/>
        <v>253518.5</v>
      </c>
    </row>
    <row r="167" spans="1:12" x14ac:dyDescent="0.3">
      <c r="A167" s="31">
        <v>14</v>
      </c>
      <c r="B167" s="33" t="s">
        <v>16</v>
      </c>
      <c r="C167" s="33" t="s">
        <v>17</v>
      </c>
      <c r="D167" s="17">
        <v>710330</v>
      </c>
      <c r="E167" s="7">
        <v>826303</v>
      </c>
      <c r="F167" s="17">
        <v>89088</v>
      </c>
      <c r="G167" s="17">
        <v>74</v>
      </c>
      <c r="H167" s="17">
        <v>90575</v>
      </c>
      <c r="I167" s="17">
        <v>45492</v>
      </c>
      <c r="J167" s="17">
        <v>38807</v>
      </c>
      <c r="K167" s="6">
        <v>2021</v>
      </c>
      <c r="L167" s="12">
        <f t="shared" si="2"/>
        <v>251491.5</v>
      </c>
    </row>
    <row r="168" spans="1:12" x14ac:dyDescent="0.3">
      <c r="A168" s="31">
        <v>15</v>
      </c>
      <c r="B168" s="33" t="s">
        <v>32</v>
      </c>
      <c r="C168" s="33" t="s">
        <v>12</v>
      </c>
      <c r="D168" s="17">
        <v>708530</v>
      </c>
      <c r="E168" s="7">
        <v>939281</v>
      </c>
      <c r="F168" s="17">
        <v>93137</v>
      </c>
      <c r="G168" s="17">
        <v>72</v>
      </c>
      <c r="H168" s="17">
        <v>84572</v>
      </c>
      <c r="I168" s="17">
        <v>44033</v>
      </c>
      <c r="J168" s="17">
        <v>32797</v>
      </c>
      <c r="K168" s="6">
        <v>2021</v>
      </c>
      <c r="L168" s="12">
        <f t="shared" si="2"/>
        <v>279247.5</v>
      </c>
    </row>
    <row r="169" spans="1:12" x14ac:dyDescent="0.3">
      <c r="A169" s="31">
        <v>16</v>
      </c>
      <c r="B169" s="33" t="s">
        <v>25</v>
      </c>
      <c r="C169" s="33" t="s">
        <v>26</v>
      </c>
      <c r="D169" s="17">
        <v>706940</v>
      </c>
      <c r="E169" s="7">
        <v>647464</v>
      </c>
      <c r="F169" s="17">
        <v>82391</v>
      </c>
      <c r="G169" s="17">
        <v>71</v>
      </c>
      <c r="H169" s="17">
        <v>93933</v>
      </c>
      <c r="I169" s="17">
        <v>19487</v>
      </c>
      <c r="J169" s="17">
        <v>84769</v>
      </c>
      <c r="K169" s="6">
        <v>2021</v>
      </c>
      <c r="L169" s="12">
        <f t="shared" si="2"/>
        <v>205947</v>
      </c>
    </row>
    <row r="170" spans="1:12" x14ac:dyDescent="0.3">
      <c r="A170" s="31">
        <v>17</v>
      </c>
      <c r="B170" s="33" t="s">
        <v>35</v>
      </c>
      <c r="C170" s="33" t="s">
        <v>12</v>
      </c>
      <c r="D170" s="17">
        <v>706360</v>
      </c>
      <c r="E170" s="7">
        <v>812537</v>
      </c>
      <c r="F170" s="17">
        <v>90592</v>
      </c>
      <c r="G170" s="17">
        <v>73</v>
      </c>
      <c r="H170" s="17">
        <v>81058</v>
      </c>
      <c r="I170" s="17">
        <v>62862</v>
      </c>
      <c r="J170" s="17">
        <v>44029</v>
      </c>
      <c r="K170" s="6">
        <v>2021</v>
      </c>
      <c r="L170" s="12">
        <f t="shared" si="2"/>
        <v>246046.75</v>
      </c>
    </row>
    <row r="171" spans="1:12" x14ac:dyDescent="0.3">
      <c r="A171" s="31">
        <v>18</v>
      </c>
      <c r="B171" s="33" t="s">
        <v>193</v>
      </c>
      <c r="C171" s="33" t="s">
        <v>47</v>
      </c>
      <c r="D171" s="17">
        <v>696470</v>
      </c>
      <c r="E171" s="7">
        <v>782406</v>
      </c>
      <c r="F171" s="17">
        <v>92998</v>
      </c>
      <c r="G171" s="17">
        <v>71</v>
      </c>
      <c r="H171" s="17">
        <v>81013</v>
      </c>
      <c r="I171" s="17">
        <v>9619</v>
      </c>
      <c r="J171" s="17">
        <v>91653</v>
      </c>
      <c r="K171" s="6">
        <v>2021</v>
      </c>
      <c r="L171" s="12">
        <f t="shared" si="2"/>
        <v>239104.25</v>
      </c>
    </row>
    <row r="172" spans="1:12" x14ac:dyDescent="0.3">
      <c r="A172" s="31">
        <v>19</v>
      </c>
      <c r="B172" s="33" t="s">
        <v>29</v>
      </c>
      <c r="C172" s="33" t="s">
        <v>17</v>
      </c>
      <c r="D172" s="17">
        <v>695150</v>
      </c>
      <c r="E172" s="7">
        <v>875594</v>
      </c>
      <c r="F172" s="17">
        <v>87876</v>
      </c>
      <c r="G172" s="17">
        <v>68</v>
      </c>
      <c r="H172" s="17">
        <v>77367</v>
      </c>
      <c r="I172" s="17">
        <v>46594</v>
      </c>
      <c r="J172" s="17">
        <v>71859</v>
      </c>
      <c r="K172" s="6">
        <v>2021</v>
      </c>
      <c r="L172" s="12">
        <f t="shared" si="2"/>
        <v>260209.25</v>
      </c>
    </row>
    <row r="173" spans="1:12" x14ac:dyDescent="0.3">
      <c r="A173" s="31">
        <v>20</v>
      </c>
      <c r="B173" s="33" t="s">
        <v>33</v>
      </c>
      <c r="C173" s="33" t="s">
        <v>12</v>
      </c>
      <c r="D173" s="17">
        <v>683400</v>
      </c>
      <c r="E173" s="7">
        <v>835672</v>
      </c>
      <c r="F173" s="17">
        <v>85124</v>
      </c>
      <c r="G173" s="17">
        <v>72</v>
      </c>
      <c r="H173" s="17">
        <v>68250</v>
      </c>
      <c r="I173" s="17">
        <v>16245</v>
      </c>
      <c r="J173" s="17">
        <v>65738</v>
      </c>
      <c r="K173" s="6">
        <v>2021</v>
      </c>
      <c r="L173" s="12">
        <f t="shared" si="2"/>
        <v>247261.5</v>
      </c>
    </row>
    <row r="174" spans="1:12" x14ac:dyDescent="0.3">
      <c r="A174" s="31">
        <v>21</v>
      </c>
      <c r="B174" s="33" t="s">
        <v>44</v>
      </c>
      <c r="C174" s="33" t="s">
        <v>12</v>
      </c>
      <c r="D174" s="17">
        <v>668990</v>
      </c>
      <c r="E174" s="7">
        <v>811889</v>
      </c>
      <c r="F174" s="17">
        <v>92199</v>
      </c>
      <c r="G174" s="17">
        <v>74</v>
      </c>
      <c r="H174" s="17">
        <v>74800</v>
      </c>
      <c r="I174" s="17">
        <v>17070</v>
      </c>
      <c r="J174" s="17">
        <v>57009</v>
      </c>
      <c r="K174" s="6">
        <v>2021</v>
      </c>
      <c r="L174" s="12">
        <f t="shared" si="2"/>
        <v>244722</v>
      </c>
    </row>
    <row r="175" spans="1:12" x14ac:dyDescent="0.3">
      <c r="A175" s="31">
        <v>22</v>
      </c>
      <c r="B175" s="33" t="s">
        <v>67</v>
      </c>
      <c r="C175" s="33" t="s">
        <v>24</v>
      </c>
      <c r="D175" s="17">
        <v>664690</v>
      </c>
      <c r="E175" s="7">
        <v>804848</v>
      </c>
      <c r="F175" s="17">
        <v>76689</v>
      </c>
      <c r="G175" s="17">
        <v>69</v>
      </c>
      <c r="H175" s="17">
        <v>92328</v>
      </c>
      <c r="I175" s="17">
        <v>45470</v>
      </c>
      <c r="J175" s="17">
        <v>74649</v>
      </c>
      <c r="K175" s="6">
        <v>2021</v>
      </c>
      <c r="L175" s="12">
        <f t="shared" si="2"/>
        <v>243466.25</v>
      </c>
    </row>
    <row r="176" spans="1:12" x14ac:dyDescent="0.3">
      <c r="A176" s="31">
        <v>23</v>
      </c>
      <c r="B176" s="33" t="s">
        <v>53</v>
      </c>
      <c r="C176" s="33" t="s">
        <v>12</v>
      </c>
      <c r="D176" s="17">
        <v>660200</v>
      </c>
      <c r="E176" s="7">
        <v>805856</v>
      </c>
      <c r="F176" s="17">
        <v>90005</v>
      </c>
      <c r="G176" s="17">
        <v>72</v>
      </c>
      <c r="H176" s="17">
        <v>92705</v>
      </c>
      <c r="I176" s="17">
        <v>50717</v>
      </c>
      <c r="J176" s="17">
        <v>66601</v>
      </c>
      <c r="K176" s="6">
        <v>2021</v>
      </c>
      <c r="L176" s="12">
        <f t="shared" si="2"/>
        <v>247141.5</v>
      </c>
    </row>
    <row r="177" spans="1:12" x14ac:dyDescent="0.3">
      <c r="A177" s="31">
        <v>24</v>
      </c>
      <c r="B177" s="33" t="s">
        <v>184</v>
      </c>
      <c r="C177" s="33" t="s">
        <v>55</v>
      </c>
      <c r="D177" s="17">
        <v>658440</v>
      </c>
      <c r="E177" s="7">
        <v>845234</v>
      </c>
      <c r="F177" s="17">
        <v>83730</v>
      </c>
      <c r="G177" s="17">
        <v>70</v>
      </c>
      <c r="H177" s="17">
        <v>68427</v>
      </c>
      <c r="I177" s="17">
        <v>26233</v>
      </c>
      <c r="J177" s="17">
        <v>74572</v>
      </c>
      <c r="K177" s="6">
        <v>2021</v>
      </c>
      <c r="L177" s="12">
        <f t="shared" si="2"/>
        <v>249347.75</v>
      </c>
    </row>
    <row r="178" spans="1:12" x14ac:dyDescent="0.3">
      <c r="A178" s="31">
        <v>25</v>
      </c>
      <c r="B178" s="33" t="s">
        <v>34</v>
      </c>
      <c r="C178" s="33" t="s">
        <v>24</v>
      </c>
      <c r="D178" s="17">
        <v>656050</v>
      </c>
      <c r="E178" s="7">
        <v>887917</v>
      </c>
      <c r="F178" s="17">
        <v>73373</v>
      </c>
      <c r="G178" s="17">
        <v>67</v>
      </c>
      <c r="H178" s="17">
        <v>93587</v>
      </c>
      <c r="I178" s="17">
        <v>43648</v>
      </c>
      <c r="J178" s="17">
        <v>59155</v>
      </c>
      <c r="K178" s="6">
        <v>2021</v>
      </c>
      <c r="L178" s="12">
        <f t="shared" si="2"/>
        <v>263719.25</v>
      </c>
    </row>
    <row r="179" spans="1:12" x14ac:dyDescent="0.3">
      <c r="A179" s="31">
        <v>26</v>
      </c>
      <c r="B179" s="33" t="s">
        <v>51</v>
      </c>
      <c r="C179" s="33" t="s">
        <v>24</v>
      </c>
      <c r="D179" s="17">
        <v>649400</v>
      </c>
      <c r="E179" s="7">
        <v>819593</v>
      </c>
      <c r="F179" s="17">
        <v>82245</v>
      </c>
      <c r="G179" s="17">
        <v>67</v>
      </c>
      <c r="H179" s="17">
        <v>84216</v>
      </c>
      <c r="I179" s="17">
        <v>16719</v>
      </c>
      <c r="J179" s="17">
        <v>70219</v>
      </c>
      <c r="K179" s="6">
        <v>2021</v>
      </c>
      <c r="L179" s="12">
        <f t="shared" si="2"/>
        <v>246513.5</v>
      </c>
    </row>
    <row r="180" spans="1:12" x14ac:dyDescent="0.3">
      <c r="A180" s="31">
        <v>27</v>
      </c>
      <c r="B180" s="33" t="s">
        <v>52</v>
      </c>
      <c r="C180" s="33" t="s">
        <v>12</v>
      </c>
      <c r="D180" s="17">
        <v>649070</v>
      </c>
      <c r="E180" s="7">
        <v>785340</v>
      </c>
      <c r="F180" s="17">
        <v>90130</v>
      </c>
      <c r="G180" s="17">
        <v>75</v>
      </c>
      <c r="H180" s="17">
        <v>64519</v>
      </c>
      <c r="I180" s="17">
        <v>24950</v>
      </c>
      <c r="J180" s="17">
        <v>77365</v>
      </c>
      <c r="K180" s="6">
        <v>2021</v>
      </c>
      <c r="L180" s="12">
        <f t="shared" si="2"/>
        <v>234997.25</v>
      </c>
    </row>
    <row r="181" spans="1:12" x14ac:dyDescent="0.3">
      <c r="A181" s="31">
        <v>28</v>
      </c>
      <c r="B181" s="33" t="s">
        <v>68</v>
      </c>
      <c r="C181" s="33" t="s">
        <v>12</v>
      </c>
      <c r="D181" s="17">
        <v>648310</v>
      </c>
      <c r="E181" s="7">
        <v>795726</v>
      </c>
      <c r="F181" s="17">
        <v>80209</v>
      </c>
      <c r="G181" s="17">
        <v>74</v>
      </c>
      <c r="H181" s="17">
        <v>52885</v>
      </c>
      <c r="I181" s="17">
        <v>24578</v>
      </c>
      <c r="J181" s="17">
        <v>91415</v>
      </c>
      <c r="K181" s="6">
        <v>2021</v>
      </c>
      <c r="L181" s="12">
        <f t="shared" si="2"/>
        <v>232205</v>
      </c>
    </row>
    <row r="182" spans="1:12" x14ac:dyDescent="0.3">
      <c r="A182" s="31">
        <v>29</v>
      </c>
      <c r="B182" s="33" t="s">
        <v>73</v>
      </c>
      <c r="C182" s="33" t="s">
        <v>47</v>
      </c>
      <c r="D182" s="17">
        <v>646070</v>
      </c>
      <c r="E182" s="7">
        <v>777061</v>
      </c>
      <c r="F182" s="17">
        <v>93279</v>
      </c>
      <c r="G182" s="17">
        <v>71</v>
      </c>
      <c r="H182" s="17">
        <v>96345</v>
      </c>
      <c r="I182" s="17">
        <v>22595</v>
      </c>
      <c r="J182" s="17">
        <v>84504</v>
      </c>
      <c r="K182" s="6">
        <v>2021</v>
      </c>
      <c r="L182" s="12">
        <f t="shared" si="2"/>
        <v>241671.25</v>
      </c>
    </row>
    <row r="183" spans="1:12" x14ac:dyDescent="0.3">
      <c r="A183" s="31">
        <v>30</v>
      </c>
      <c r="B183" s="33" t="s">
        <v>60</v>
      </c>
      <c r="C183" s="33" t="s">
        <v>26</v>
      </c>
      <c r="D183" s="17">
        <v>643450</v>
      </c>
      <c r="E183" s="7">
        <v>482532</v>
      </c>
      <c r="F183" s="17">
        <v>67397</v>
      </c>
      <c r="G183" s="17">
        <v>65</v>
      </c>
      <c r="H183" s="17">
        <v>89069</v>
      </c>
      <c r="I183" s="17">
        <v>30198</v>
      </c>
      <c r="J183" s="17">
        <v>80870</v>
      </c>
      <c r="K183" s="6">
        <v>2021</v>
      </c>
      <c r="L183" s="12">
        <f t="shared" si="2"/>
        <v>159749.5</v>
      </c>
    </row>
    <row r="184" spans="1:12" x14ac:dyDescent="0.3">
      <c r="A184" s="31">
        <v>31</v>
      </c>
      <c r="B184" s="33" t="s">
        <v>48</v>
      </c>
      <c r="C184" s="33" t="s">
        <v>26</v>
      </c>
      <c r="D184" s="17">
        <v>643140</v>
      </c>
      <c r="E184" s="7">
        <v>664560</v>
      </c>
      <c r="F184" s="17">
        <v>88861</v>
      </c>
      <c r="G184" s="17">
        <v>69</v>
      </c>
      <c r="H184" s="17">
        <v>87359</v>
      </c>
      <c r="I184" s="17">
        <v>23615</v>
      </c>
      <c r="J184" s="17">
        <v>59205</v>
      </c>
      <c r="K184" s="6">
        <v>2021</v>
      </c>
      <c r="L184" s="12">
        <f t="shared" si="2"/>
        <v>210195</v>
      </c>
    </row>
    <row r="185" spans="1:12" x14ac:dyDescent="0.3">
      <c r="A185" s="31">
        <v>32</v>
      </c>
      <c r="B185" s="33" t="s">
        <v>38</v>
      </c>
      <c r="C185" s="33" t="s">
        <v>39</v>
      </c>
      <c r="D185" s="17">
        <v>637650</v>
      </c>
      <c r="E185" s="7">
        <v>968360</v>
      </c>
      <c r="F185" s="17">
        <v>86924</v>
      </c>
      <c r="G185" s="17">
        <v>77</v>
      </c>
      <c r="H185" s="17">
        <v>92703</v>
      </c>
      <c r="I185" s="17">
        <v>32509</v>
      </c>
      <c r="J185" s="17">
        <v>100000</v>
      </c>
      <c r="K185" s="6">
        <v>2021</v>
      </c>
      <c r="L185" s="12">
        <f t="shared" si="2"/>
        <v>286996.75</v>
      </c>
    </row>
    <row r="186" spans="1:12" x14ac:dyDescent="0.3">
      <c r="A186" s="31">
        <v>33</v>
      </c>
      <c r="B186" s="33" t="s">
        <v>87</v>
      </c>
      <c r="C186" s="33" t="s">
        <v>47</v>
      </c>
      <c r="D186" s="17">
        <v>637200</v>
      </c>
      <c r="E186" s="7">
        <v>535379</v>
      </c>
      <c r="F186" s="17">
        <v>68871</v>
      </c>
      <c r="G186" s="17">
        <v>64</v>
      </c>
      <c r="H186" s="17">
        <v>82807</v>
      </c>
      <c r="I186" s="17">
        <v>65755</v>
      </c>
      <c r="J186" s="17">
        <v>97451</v>
      </c>
      <c r="K186" s="6">
        <v>2021</v>
      </c>
      <c r="L186" s="12">
        <f t="shared" si="2"/>
        <v>171764.25</v>
      </c>
    </row>
    <row r="187" spans="1:12" x14ac:dyDescent="0.3">
      <c r="A187" s="31">
        <v>34</v>
      </c>
      <c r="B187" s="33" t="s">
        <v>63</v>
      </c>
      <c r="C187" s="33" t="s">
        <v>47</v>
      </c>
      <c r="D187" s="17">
        <v>633090</v>
      </c>
      <c r="E187" s="7">
        <v>745049</v>
      </c>
      <c r="F187" s="17">
        <v>90955</v>
      </c>
      <c r="G187" s="17">
        <v>69</v>
      </c>
      <c r="H187" s="17">
        <v>65371</v>
      </c>
      <c r="I187" s="17">
        <v>19812</v>
      </c>
      <c r="J187" s="17">
        <v>96723</v>
      </c>
      <c r="K187" s="6">
        <v>2021</v>
      </c>
      <c r="L187" s="12">
        <f t="shared" si="2"/>
        <v>225343.75</v>
      </c>
    </row>
    <row r="188" spans="1:12" x14ac:dyDescent="0.3">
      <c r="A188" s="31">
        <v>35</v>
      </c>
      <c r="B188" s="33" t="s">
        <v>30</v>
      </c>
      <c r="C188" s="33" t="s">
        <v>26</v>
      </c>
      <c r="D188" s="17">
        <v>633010</v>
      </c>
      <c r="E188" s="7">
        <v>587077</v>
      </c>
      <c r="F188" s="17">
        <v>80524</v>
      </c>
      <c r="G188" s="17">
        <v>67</v>
      </c>
      <c r="H188" s="17">
        <v>71835</v>
      </c>
      <c r="I188" s="17">
        <v>26166</v>
      </c>
      <c r="J188" s="17">
        <v>78662</v>
      </c>
      <c r="K188" s="6">
        <v>2021</v>
      </c>
      <c r="L188" s="12">
        <f t="shared" si="2"/>
        <v>184859</v>
      </c>
    </row>
    <row r="189" spans="1:12" x14ac:dyDescent="0.3">
      <c r="A189" s="31">
        <v>36</v>
      </c>
      <c r="B189" s="33" t="s">
        <v>28</v>
      </c>
      <c r="C189" s="33" t="s">
        <v>26</v>
      </c>
      <c r="D189" s="17">
        <v>631680</v>
      </c>
      <c r="E189" s="7">
        <v>643272</v>
      </c>
      <c r="F189" s="17">
        <v>70778</v>
      </c>
      <c r="G189" s="17">
        <v>69</v>
      </c>
      <c r="H189" s="17">
        <v>81706</v>
      </c>
      <c r="I189" s="17">
        <v>17035</v>
      </c>
      <c r="J189" s="17">
        <v>83641</v>
      </c>
      <c r="K189" s="6">
        <v>2021</v>
      </c>
      <c r="L189" s="12">
        <f t="shared" si="2"/>
        <v>198939</v>
      </c>
    </row>
    <row r="190" spans="1:12" x14ac:dyDescent="0.3">
      <c r="A190" s="31">
        <v>37</v>
      </c>
      <c r="B190" s="33" t="s">
        <v>83</v>
      </c>
      <c r="C190" s="33" t="s">
        <v>26</v>
      </c>
      <c r="D190" s="17">
        <v>630920</v>
      </c>
      <c r="E190" s="7">
        <v>509031</v>
      </c>
      <c r="F190" s="17">
        <v>79545</v>
      </c>
      <c r="G190" s="17">
        <v>68</v>
      </c>
      <c r="H190" s="17">
        <v>86310</v>
      </c>
      <c r="I190" s="17">
        <v>18242</v>
      </c>
      <c r="J190" s="17">
        <v>93593</v>
      </c>
      <c r="K190" s="6">
        <v>2021</v>
      </c>
      <c r="L190" s="12">
        <f t="shared" si="2"/>
        <v>168721.5</v>
      </c>
    </row>
    <row r="191" spans="1:12" x14ac:dyDescent="0.3">
      <c r="A191" s="31">
        <v>38</v>
      </c>
      <c r="B191" s="33" t="s">
        <v>74</v>
      </c>
      <c r="C191" s="33" t="s">
        <v>12</v>
      </c>
      <c r="D191" s="17">
        <v>625540</v>
      </c>
      <c r="E191" s="7">
        <v>770947</v>
      </c>
      <c r="F191" s="17">
        <v>90851</v>
      </c>
      <c r="G191" s="17">
        <v>68</v>
      </c>
      <c r="H191" s="17">
        <v>66529</v>
      </c>
      <c r="I191" s="17">
        <v>10301</v>
      </c>
      <c r="J191" s="17">
        <v>86737</v>
      </c>
      <c r="K191" s="6">
        <v>2021</v>
      </c>
      <c r="L191" s="12">
        <f t="shared" si="2"/>
        <v>232081.75</v>
      </c>
    </row>
    <row r="192" spans="1:12" x14ac:dyDescent="0.3">
      <c r="A192" s="31">
        <v>39</v>
      </c>
      <c r="B192" s="33" t="s">
        <v>85</v>
      </c>
      <c r="C192" s="33" t="s">
        <v>12</v>
      </c>
      <c r="D192" s="17">
        <v>622350</v>
      </c>
      <c r="E192" s="7">
        <v>786375</v>
      </c>
      <c r="F192" s="17">
        <v>65284</v>
      </c>
      <c r="G192" s="17">
        <v>74</v>
      </c>
      <c r="H192" s="17">
        <v>64801</v>
      </c>
      <c r="I192" s="17">
        <v>32932</v>
      </c>
      <c r="J192" s="17">
        <v>88900</v>
      </c>
      <c r="K192" s="6">
        <v>2021</v>
      </c>
      <c r="L192" s="12">
        <f t="shared" si="2"/>
        <v>229115</v>
      </c>
    </row>
    <row r="193" spans="1:12" x14ac:dyDescent="0.3">
      <c r="A193" s="31">
        <v>40</v>
      </c>
      <c r="B193" s="33" t="s">
        <v>92</v>
      </c>
      <c r="C193" s="33" t="s">
        <v>12</v>
      </c>
      <c r="D193" s="17">
        <v>618880</v>
      </c>
      <c r="E193" s="7">
        <v>767446</v>
      </c>
      <c r="F193" s="17">
        <v>92027</v>
      </c>
      <c r="G193" s="17">
        <v>69</v>
      </c>
      <c r="H193" s="17">
        <v>89562</v>
      </c>
      <c r="I193" s="17">
        <v>21931</v>
      </c>
      <c r="J193" s="17">
        <v>51866</v>
      </c>
      <c r="K193" s="6">
        <v>2021</v>
      </c>
      <c r="L193" s="12">
        <f t="shared" si="2"/>
        <v>237258.75</v>
      </c>
    </row>
    <row r="194" spans="1:12" x14ac:dyDescent="0.3">
      <c r="A194" s="31">
        <v>41</v>
      </c>
      <c r="B194" s="33" t="s">
        <v>40</v>
      </c>
      <c r="C194" s="33" t="s">
        <v>26</v>
      </c>
      <c r="D194" s="17">
        <v>617960</v>
      </c>
      <c r="E194" s="7">
        <v>741300</v>
      </c>
      <c r="F194" s="17">
        <v>83269</v>
      </c>
      <c r="G194" s="17">
        <v>70</v>
      </c>
      <c r="H194" s="17">
        <v>83302</v>
      </c>
      <c r="I194" s="17">
        <v>14688</v>
      </c>
      <c r="J194" s="17">
        <v>90243</v>
      </c>
      <c r="K194" s="6">
        <v>2021</v>
      </c>
      <c r="L194" s="12">
        <f t="shared" si="2"/>
        <v>226967.75</v>
      </c>
    </row>
    <row r="195" spans="1:12" x14ac:dyDescent="0.3">
      <c r="A195" s="31">
        <v>42</v>
      </c>
      <c r="B195" s="33" t="s">
        <v>61</v>
      </c>
      <c r="C195" s="33" t="s">
        <v>62</v>
      </c>
      <c r="D195" s="17">
        <v>617880</v>
      </c>
      <c r="E195" s="7">
        <v>439232</v>
      </c>
      <c r="F195" s="17">
        <v>87610</v>
      </c>
      <c r="G195" s="17">
        <v>65</v>
      </c>
      <c r="H195" s="17">
        <v>100000</v>
      </c>
      <c r="I195" s="17">
        <v>72177</v>
      </c>
      <c r="J195" s="17">
        <v>50518</v>
      </c>
      <c r="K195" s="6">
        <v>2021</v>
      </c>
      <c r="L195" s="12">
        <f t="shared" ref="L195:L258" si="3">AVERAGE(E195,F195,H195,)</f>
        <v>156710.5</v>
      </c>
    </row>
    <row r="196" spans="1:12" x14ac:dyDescent="0.3">
      <c r="A196" s="31">
        <v>43</v>
      </c>
      <c r="B196" s="33" t="s">
        <v>42</v>
      </c>
      <c r="C196" s="33" t="s">
        <v>26</v>
      </c>
      <c r="D196" s="17">
        <v>617190</v>
      </c>
      <c r="E196" s="7">
        <v>685610</v>
      </c>
      <c r="F196" s="17">
        <v>80658</v>
      </c>
      <c r="G196" s="17">
        <v>70</v>
      </c>
      <c r="H196" s="17">
        <v>61143</v>
      </c>
      <c r="I196" s="17">
        <v>29391</v>
      </c>
      <c r="J196" s="17">
        <v>87288</v>
      </c>
      <c r="K196" s="6">
        <v>2021</v>
      </c>
      <c r="L196" s="12">
        <f t="shared" si="3"/>
        <v>206852.75</v>
      </c>
    </row>
    <row r="197" spans="1:12" x14ac:dyDescent="0.3">
      <c r="A197" s="31">
        <v>44</v>
      </c>
      <c r="B197" s="33" t="s">
        <v>78</v>
      </c>
      <c r="C197" s="33" t="s">
        <v>47</v>
      </c>
      <c r="D197" s="17">
        <v>616610</v>
      </c>
      <c r="E197" s="7">
        <v>747651</v>
      </c>
      <c r="F197" s="17">
        <v>83732</v>
      </c>
      <c r="G197" s="17">
        <v>70</v>
      </c>
      <c r="H197" s="17">
        <v>77988</v>
      </c>
      <c r="I197" s="17">
        <v>14859</v>
      </c>
      <c r="J197" s="17">
        <v>76207</v>
      </c>
      <c r="K197" s="6">
        <v>2021</v>
      </c>
      <c r="L197" s="12">
        <f t="shared" si="3"/>
        <v>227342.75</v>
      </c>
    </row>
    <row r="198" spans="1:12" x14ac:dyDescent="0.3">
      <c r="A198" s="31">
        <v>45</v>
      </c>
      <c r="B198" s="33" t="s">
        <v>72</v>
      </c>
      <c r="C198" s="33" t="s">
        <v>62</v>
      </c>
      <c r="D198" s="17">
        <v>615180</v>
      </c>
      <c r="E198" s="7">
        <v>702310</v>
      </c>
      <c r="F198" s="17">
        <v>94075</v>
      </c>
      <c r="G198" s="17">
        <v>65</v>
      </c>
      <c r="H198" s="17">
        <v>80011</v>
      </c>
      <c r="I198" s="17">
        <v>26360</v>
      </c>
      <c r="J198" s="17">
        <v>75943</v>
      </c>
      <c r="K198" s="6">
        <v>2021</v>
      </c>
      <c r="L198" s="12">
        <f t="shared" si="3"/>
        <v>219099</v>
      </c>
    </row>
    <row r="199" spans="1:12" x14ac:dyDescent="0.3">
      <c r="A199" s="31">
        <v>46</v>
      </c>
      <c r="B199" s="33" t="s">
        <v>106</v>
      </c>
      <c r="C199" s="33" t="s">
        <v>47</v>
      </c>
      <c r="D199" s="17">
        <v>614000</v>
      </c>
      <c r="E199" s="7">
        <v>728045</v>
      </c>
      <c r="F199" s="17">
        <v>70976</v>
      </c>
      <c r="G199" s="17">
        <v>67</v>
      </c>
      <c r="H199" s="17">
        <v>78740</v>
      </c>
      <c r="I199" s="17">
        <v>8279</v>
      </c>
      <c r="J199" s="17">
        <v>99875</v>
      </c>
      <c r="K199" s="6">
        <v>2021</v>
      </c>
      <c r="L199" s="12">
        <f t="shared" si="3"/>
        <v>219440.25</v>
      </c>
    </row>
    <row r="200" spans="1:12" x14ac:dyDescent="0.3">
      <c r="A200" s="31">
        <v>47</v>
      </c>
      <c r="B200" s="33" t="s">
        <v>56</v>
      </c>
      <c r="C200" s="33" t="s">
        <v>24</v>
      </c>
      <c r="D200" s="17">
        <v>610610</v>
      </c>
      <c r="E200" s="7">
        <v>834399</v>
      </c>
      <c r="F200" s="17">
        <v>73065</v>
      </c>
      <c r="G200" s="17">
        <v>67</v>
      </c>
      <c r="H200" s="17">
        <v>82487</v>
      </c>
      <c r="I200" s="17">
        <v>22176</v>
      </c>
      <c r="J200" s="17">
        <v>76311</v>
      </c>
      <c r="K200" s="6">
        <v>2021</v>
      </c>
      <c r="L200" s="12">
        <f t="shared" si="3"/>
        <v>247487.75</v>
      </c>
    </row>
    <row r="201" spans="1:12" x14ac:dyDescent="0.3">
      <c r="A201" s="31">
        <v>48</v>
      </c>
      <c r="B201" s="33" t="s">
        <v>107</v>
      </c>
      <c r="C201" s="33" t="s">
        <v>47</v>
      </c>
      <c r="D201" s="17">
        <v>607790</v>
      </c>
      <c r="E201" s="7">
        <v>628846</v>
      </c>
      <c r="F201" s="17">
        <v>78804</v>
      </c>
      <c r="G201" s="17">
        <v>69</v>
      </c>
      <c r="H201" s="17">
        <v>67271</v>
      </c>
      <c r="I201" s="17">
        <v>34994</v>
      </c>
      <c r="J201" s="17">
        <v>87865</v>
      </c>
      <c r="K201" s="6">
        <v>2021</v>
      </c>
      <c r="L201" s="12">
        <f t="shared" si="3"/>
        <v>193730.25</v>
      </c>
    </row>
    <row r="202" spans="1:12" x14ac:dyDescent="0.3">
      <c r="A202" s="31">
        <v>49</v>
      </c>
      <c r="B202" s="33" t="s">
        <v>59</v>
      </c>
      <c r="C202" s="33" t="s">
        <v>26</v>
      </c>
      <c r="D202" s="17">
        <v>606050</v>
      </c>
      <c r="E202" s="7">
        <v>482622</v>
      </c>
      <c r="F202" s="17">
        <v>57554</v>
      </c>
      <c r="G202" s="17">
        <v>66</v>
      </c>
      <c r="H202" s="17">
        <v>85967</v>
      </c>
      <c r="I202" s="17">
        <v>21440</v>
      </c>
      <c r="J202" s="17">
        <v>70717</v>
      </c>
      <c r="K202" s="6">
        <v>2021</v>
      </c>
      <c r="L202" s="12">
        <f t="shared" si="3"/>
        <v>156535.75</v>
      </c>
    </row>
    <row r="203" spans="1:12" x14ac:dyDescent="0.3">
      <c r="A203" s="31">
        <v>50</v>
      </c>
      <c r="B203" s="33" t="s">
        <v>89</v>
      </c>
      <c r="C203" s="33" t="s">
        <v>90</v>
      </c>
      <c r="D203" s="17">
        <v>604900</v>
      </c>
      <c r="E203" s="7">
        <v>673044</v>
      </c>
      <c r="F203" s="17">
        <v>84964</v>
      </c>
      <c r="G203" s="17">
        <v>67</v>
      </c>
      <c r="H203" s="17">
        <v>82459</v>
      </c>
      <c r="I203" s="17">
        <v>28208</v>
      </c>
      <c r="J203" s="17">
        <v>82469</v>
      </c>
      <c r="K203" s="6">
        <v>2021</v>
      </c>
      <c r="L203" s="12">
        <f t="shared" si="3"/>
        <v>210116.75</v>
      </c>
    </row>
    <row r="204" spans="1:12" x14ac:dyDescent="0.3">
      <c r="A204" s="31">
        <v>51</v>
      </c>
      <c r="B204" s="33" t="s">
        <v>109</v>
      </c>
      <c r="C204" s="33" t="s">
        <v>12</v>
      </c>
      <c r="D204" s="17">
        <v>603200</v>
      </c>
      <c r="E204" s="7">
        <v>734240</v>
      </c>
      <c r="F204" s="17">
        <v>89346</v>
      </c>
      <c r="G204" s="17">
        <v>67</v>
      </c>
      <c r="H204" s="17">
        <v>56563</v>
      </c>
      <c r="I204" s="17">
        <v>15203</v>
      </c>
      <c r="J204" s="17">
        <v>83724</v>
      </c>
      <c r="K204" s="6">
        <v>2021</v>
      </c>
      <c r="L204" s="12">
        <f t="shared" si="3"/>
        <v>220037.25</v>
      </c>
    </row>
    <row r="205" spans="1:12" x14ac:dyDescent="0.3">
      <c r="A205" s="31">
        <v>52</v>
      </c>
      <c r="B205" s="33" t="s">
        <v>49</v>
      </c>
      <c r="C205" s="33" t="s">
        <v>26</v>
      </c>
      <c r="D205" s="17">
        <v>601240</v>
      </c>
      <c r="E205" s="7">
        <v>583025</v>
      </c>
      <c r="F205" s="17">
        <v>73847</v>
      </c>
      <c r="G205" s="17">
        <v>68</v>
      </c>
      <c r="H205" s="17">
        <v>77371</v>
      </c>
      <c r="I205" s="17">
        <v>18483</v>
      </c>
      <c r="J205" s="17">
        <v>88515</v>
      </c>
      <c r="K205" s="6">
        <v>2021</v>
      </c>
      <c r="L205" s="12">
        <f t="shared" si="3"/>
        <v>183560.75</v>
      </c>
    </row>
    <row r="206" spans="1:12" x14ac:dyDescent="0.3">
      <c r="A206" s="31">
        <v>53</v>
      </c>
      <c r="B206" s="33" t="s">
        <v>124</v>
      </c>
      <c r="C206" s="33" t="s">
        <v>47</v>
      </c>
      <c r="D206" s="17">
        <v>599160</v>
      </c>
      <c r="E206" s="7">
        <v>742912</v>
      </c>
      <c r="F206" s="17">
        <v>92415</v>
      </c>
      <c r="G206" s="17">
        <v>68</v>
      </c>
      <c r="H206" s="17">
        <v>63424</v>
      </c>
      <c r="I206" s="17">
        <v>12290</v>
      </c>
      <c r="J206" s="17">
        <v>92633</v>
      </c>
      <c r="K206" s="6">
        <v>2021</v>
      </c>
      <c r="L206" s="12">
        <f t="shared" si="3"/>
        <v>224687.75</v>
      </c>
    </row>
    <row r="207" spans="1:12" x14ac:dyDescent="0.3">
      <c r="A207" s="31">
        <v>54</v>
      </c>
      <c r="B207" s="33" t="s">
        <v>50</v>
      </c>
      <c r="C207" s="33" t="s">
        <v>39</v>
      </c>
      <c r="D207" s="17">
        <v>598470</v>
      </c>
      <c r="E207" s="7">
        <v>632450</v>
      </c>
      <c r="F207" s="17">
        <v>81664</v>
      </c>
      <c r="G207" s="17">
        <v>67</v>
      </c>
      <c r="H207" s="17">
        <v>85368</v>
      </c>
      <c r="I207" s="17">
        <v>69367</v>
      </c>
      <c r="J207" s="17">
        <v>94871</v>
      </c>
      <c r="K207" s="6">
        <v>2021</v>
      </c>
      <c r="L207" s="12">
        <f t="shared" si="3"/>
        <v>199870.5</v>
      </c>
    </row>
    <row r="208" spans="1:12" x14ac:dyDescent="0.3">
      <c r="A208" s="31">
        <v>55</v>
      </c>
      <c r="B208" s="33" t="s">
        <v>75</v>
      </c>
      <c r="C208" s="33" t="s">
        <v>26</v>
      </c>
      <c r="D208" s="17">
        <v>597210</v>
      </c>
      <c r="E208" s="7">
        <v>396098</v>
      </c>
      <c r="F208" s="17">
        <v>77138</v>
      </c>
      <c r="G208" s="17">
        <v>68</v>
      </c>
      <c r="H208" s="17">
        <v>77172</v>
      </c>
      <c r="I208" s="17">
        <v>37092</v>
      </c>
      <c r="J208" s="17">
        <v>67838</v>
      </c>
      <c r="K208" s="6">
        <v>2021</v>
      </c>
      <c r="L208" s="12">
        <f t="shared" si="3"/>
        <v>137602</v>
      </c>
    </row>
    <row r="209" spans="1:12" x14ac:dyDescent="0.3">
      <c r="A209" s="31">
        <v>56</v>
      </c>
      <c r="B209" s="33" t="s">
        <v>64</v>
      </c>
      <c r="C209" s="33" t="s">
        <v>55</v>
      </c>
      <c r="D209" s="17">
        <v>594050</v>
      </c>
      <c r="E209" s="7">
        <v>793438</v>
      </c>
      <c r="F209" s="17">
        <v>80975</v>
      </c>
      <c r="G209" s="17">
        <v>75</v>
      </c>
      <c r="H209" s="17">
        <v>70362</v>
      </c>
      <c r="I209" s="17">
        <v>3611</v>
      </c>
      <c r="J209" s="17">
        <v>64840</v>
      </c>
      <c r="K209" s="6">
        <v>2021</v>
      </c>
      <c r="L209" s="12">
        <f t="shared" si="3"/>
        <v>236193.75</v>
      </c>
    </row>
    <row r="210" spans="1:12" x14ac:dyDescent="0.3">
      <c r="A210" s="31">
        <v>57</v>
      </c>
      <c r="B210" s="33" t="s">
        <v>45</v>
      </c>
      <c r="C210" s="33" t="s">
        <v>26</v>
      </c>
      <c r="D210" s="17">
        <v>592930</v>
      </c>
      <c r="E210" s="7">
        <v>663769</v>
      </c>
      <c r="F210" s="17">
        <v>83585</v>
      </c>
      <c r="G210" s="17">
        <v>69</v>
      </c>
      <c r="H210" s="17">
        <v>75926</v>
      </c>
      <c r="I210" s="17">
        <v>12830</v>
      </c>
      <c r="J210" s="17">
        <v>87708</v>
      </c>
      <c r="K210" s="6">
        <v>2021</v>
      </c>
      <c r="L210" s="12">
        <f t="shared" si="3"/>
        <v>205820</v>
      </c>
    </row>
    <row r="211" spans="1:12" x14ac:dyDescent="0.3">
      <c r="A211" s="31">
        <v>58</v>
      </c>
      <c r="B211" s="33" t="s">
        <v>108</v>
      </c>
      <c r="C211" s="33" t="s">
        <v>12</v>
      </c>
      <c r="D211" s="17">
        <v>592900</v>
      </c>
      <c r="E211" s="7">
        <v>755476</v>
      </c>
      <c r="F211" s="17">
        <v>80111</v>
      </c>
      <c r="G211" s="17">
        <v>73</v>
      </c>
      <c r="H211" s="17">
        <v>86673</v>
      </c>
      <c r="I211" s="17">
        <v>5274</v>
      </c>
      <c r="J211" s="17">
        <v>93933</v>
      </c>
      <c r="K211" s="6">
        <v>2021</v>
      </c>
      <c r="L211" s="12">
        <f t="shared" si="3"/>
        <v>230565</v>
      </c>
    </row>
    <row r="212" spans="1:12" x14ac:dyDescent="0.3">
      <c r="A212" s="31">
        <v>59</v>
      </c>
      <c r="B212" s="33" t="s">
        <v>125</v>
      </c>
      <c r="C212" s="33" t="s">
        <v>26</v>
      </c>
      <c r="D212" s="17">
        <v>591920</v>
      </c>
      <c r="E212" s="7">
        <v>401677</v>
      </c>
      <c r="F212" s="17">
        <v>67134</v>
      </c>
      <c r="G212" s="17">
        <v>67</v>
      </c>
      <c r="H212" s="17">
        <v>80778</v>
      </c>
      <c r="I212" s="17">
        <v>44490</v>
      </c>
      <c r="J212" s="17">
        <v>84769</v>
      </c>
      <c r="K212" s="6">
        <v>2021</v>
      </c>
      <c r="L212" s="12">
        <f t="shared" si="3"/>
        <v>137397.25</v>
      </c>
    </row>
    <row r="213" spans="1:12" x14ac:dyDescent="0.3">
      <c r="A213" s="31">
        <v>60</v>
      </c>
      <c r="B213" s="33" t="s">
        <v>80</v>
      </c>
      <c r="C213" s="33" t="s">
        <v>47</v>
      </c>
      <c r="D213" s="17">
        <v>588170</v>
      </c>
      <c r="E213" s="7">
        <v>714768</v>
      </c>
      <c r="F213" s="17">
        <v>88595</v>
      </c>
      <c r="G213" s="17">
        <v>71</v>
      </c>
      <c r="H213" s="17">
        <v>63212</v>
      </c>
      <c r="I213" s="17">
        <v>20546</v>
      </c>
      <c r="J213" s="17">
        <v>100000</v>
      </c>
      <c r="K213" s="6">
        <v>2021</v>
      </c>
      <c r="L213" s="12">
        <f t="shared" si="3"/>
        <v>216643.75</v>
      </c>
    </row>
    <row r="214" spans="1:12" x14ac:dyDescent="0.3">
      <c r="A214" s="31">
        <v>61</v>
      </c>
      <c r="B214" s="33" t="s">
        <v>110</v>
      </c>
      <c r="C214" s="33" t="s">
        <v>39</v>
      </c>
      <c r="D214" s="17">
        <v>588020</v>
      </c>
      <c r="E214" s="7">
        <v>486958</v>
      </c>
      <c r="F214" s="17">
        <v>70594</v>
      </c>
      <c r="G214" s="17">
        <v>62</v>
      </c>
      <c r="H214" s="17">
        <v>90970</v>
      </c>
      <c r="I214" s="17">
        <v>23058</v>
      </c>
      <c r="J214" s="17">
        <v>76956</v>
      </c>
      <c r="K214" s="6">
        <v>2021</v>
      </c>
      <c r="L214" s="12">
        <f t="shared" si="3"/>
        <v>162130.5</v>
      </c>
    </row>
    <row r="215" spans="1:12" x14ac:dyDescent="0.3">
      <c r="A215" s="31">
        <v>62</v>
      </c>
      <c r="B215" s="33" t="s">
        <v>65</v>
      </c>
      <c r="C215" s="33" t="s">
        <v>55</v>
      </c>
      <c r="D215" s="17">
        <v>584550</v>
      </c>
      <c r="E215" s="7">
        <v>801277</v>
      </c>
      <c r="F215" s="17">
        <v>64663</v>
      </c>
      <c r="G215" s="17">
        <v>74</v>
      </c>
      <c r="H215" s="17">
        <v>49333</v>
      </c>
      <c r="I215" s="17">
        <v>24698</v>
      </c>
      <c r="J215" s="17">
        <v>75243</v>
      </c>
      <c r="K215" s="6">
        <v>2021</v>
      </c>
      <c r="L215" s="12">
        <f t="shared" si="3"/>
        <v>228818.25</v>
      </c>
    </row>
    <row r="216" spans="1:12" x14ac:dyDescent="0.3">
      <c r="A216" s="31">
        <v>63</v>
      </c>
      <c r="B216" s="33" t="s">
        <v>76</v>
      </c>
      <c r="C216" s="33" t="s">
        <v>26</v>
      </c>
      <c r="D216" s="17">
        <v>583960</v>
      </c>
      <c r="E216" s="7">
        <v>563345</v>
      </c>
      <c r="F216" s="17">
        <v>71048</v>
      </c>
      <c r="G216" s="17">
        <v>68</v>
      </c>
      <c r="H216" s="17">
        <v>74818</v>
      </c>
      <c r="I216" s="17">
        <v>16156</v>
      </c>
      <c r="J216" s="17">
        <v>94377</v>
      </c>
      <c r="K216" s="6">
        <v>2021</v>
      </c>
      <c r="L216" s="12">
        <f t="shared" si="3"/>
        <v>177302.75</v>
      </c>
    </row>
    <row r="217" spans="1:12" x14ac:dyDescent="0.3">
      <c r="A217" s="31">
        <v>64</v>
      </c>
      <c r="B217" s="33" t="s">
        <v>116</v>
      </c>
      <c r="C217" s="33" t="s">
        <v>47</v>
      </c>
      <c r="D217" s="17">
        <v>581310</v>
      </c>
      <c r="E217" s="7">
        <v>589613</v>
      </c>
      <c r="F217" s="17">
        <v>78370</v>
      </c>
      <c r="G217" s="17">
        <v>68</v>
      </c>
      <c r="H217" s="17">
        <v>55168</v>
      </c>
      <c r="I217" s="17">
        <v>48291</v>
      </c>
      <c r="J217" s="17">
        <v>99052</v>
      </c>
      <c r="K217" s="6">
        <v>2021</v>
      </c>
      <c r="L217" s="12">
        <f t="shared" si="3"/>
        <v>180787.75</v>
      </c>
    </row>
    <row r="218" spans="1:12" x14ac:dyDescent="0.3">
      <c r="A218" s="31">
        <v>65</v>
      </c>
      <c r="B218" s="33" t="s">
        <v>70</v>
      </c>
      <c r="C218" s="33" t="s">
        <v>47</v>
      </c>
      <c r="D218" s="17">
        <v>576640</v>
      </c>
      <c r="E218" s="7">
        <v>562459</v>
      </c>
      <c r="F218" s="17">
        <v>75754</v>
      </c>
      <c r="G218" s="17">
        <v>66</v>
      </c>
      <c r="H218" s="17">
        <v>74839</v>
      </c>
      <c r="I218" s="17">
        <v>25247</v>
      </c>
      <c r="J218" s="17">
        <v>97536</v>
      </c>
      <c r="K218" s="6">
        <v>2021</v>
      </c>
      <c r="L218" s="12">
        <f t="shared" si="3"/>
        <v>178263</v>
      </c>
    </row>
    <row r="219" spans="1:12" x14ac:dyDescent="0.3">
      <c r="A219" s="31">
        <v>66</v>
      </c>
      <c r="B219" s="33" t="s">
        <v>66</v>
      </c>
      <c r="C219" s="33" t="s">
        <v>26</v>
      </c>
      <c r="D219" s="17">
        <v>576400</v>
      </c>
      <c r="E219" s="7">
        <v>534315</v>
      </c>
      <c r="F219" s="17">
        <v>68785</v>
      </c>
      <c r="G219" s="17">
        <v>69</v>
      </c>
      <c r="H219" s="17">
        <v>78255</v>
      </c>
      <c r="I219" s="17">
        <v>19824</v>
      </c>
      <c r="J219" s="17">
        <v>88705</v>
      </c>
      <c r="K219" s="6">
        <v>2021</v>
      </c>
      <c r="L219" s="12">
        <f t="shared" si="3"/>
        <v>170338.75</v>
      </c>
    </row>
    <row r="220" spans="1:12" x14ac:dyDescent="0.3">
      <c r="A220" s="31">
        <v>67</v>
      </c>
      <c r="B220" s="33" t="s">
        <v>96</v>
      </c>
      <c r="C220" s="33" t="s">
        <v>62</v>
      </c>
      <c r="D220" s="17">
        <v>574360</v>
      </c>
      <c r="E220" s="7">
        <v>379776</v>
      </c>
      <c r="F220" s="17">
        <v>82789</v>
      </c>
      <c r="G220" s="17">
        <v>64</v>
      </c>
      <c r="H220" s="17">
        <v>93950</v>
      </c>
      <c r="I220" s="17">
        <v>49109</v>
      </c>
      <c r="J220" s="17">
        <v>96314</v>
      </c>
      <c r="K220" s="6">
        <v>2021</v>
      </c>
      <c r="L220" s="12">
        <f t="shared" si="3"/>
        <v>139128.75</v>
      </c>
    </row>
    <row r="221" spans="1:12" x14ac:dyDescent="0.3">
      <c r="A221" s="31">
        <v>68</v>
      </c>
      <c r="B221" s="33" t="s">
        <v>122</v>
      </c>
      <c r="C221" s="33" t="s">
        <v>24</v>
      </c>
      <c r="D221" s="17">
        <v>572260</v>
      </c>
      <c r="E221" s="7">
        <v>727059</v>
      </c>
      <c r="F221" s="17">
        <v>69218</v>
      </c>
      <c r="G221" s="17">
        <v>73</v>
      </c>
      <c r="H221" s="17">
        <v>33994</v>
      </c>
      <c r="I221" s="17">
        <v>0</v>
      </c>
      <c r="J221" s="17">
        <v>86448</v>
      </c>
      <c r="K221" s="6">
        <v>2021</v>
      </c>
      <c r="L221" s="12">
        <f t="shared" si="3"/>
        <v>207567.75</v>
      </c>
    </row>
    <row r="222" spans="1:12" x14ac:dyDescent="0.3">
      <c r="A222" s="31">
        <v>69</v>
      </c>
      <c r="B222" s="33" t="s">
        <v>69</v>
      </c>
      <c r="C222" s="33" t="s">
        <v>26</v>
      </c>
      <c r="D222" s="17">
        <v>571590</v>
      </c>
      <c r="E222" s="7">
        <v>480988</v>
      </c>
      <c r="F222" s="17">
        <v>66687</v>
      </c>
      <c r="G222" s="17">
        <v>64</v>
      </c>
      <c r="H222" s="17">
        <v>83771</v>
      </c>
      <c r="I222" s="17">
        <v>25411</v>
      </c>
      <c r="J222" s="17">
        <v>88297</v>
      </c>
      <c r="K222" s="6">
        <v>2021</v>
      </c>
      <c r="L222" s="12">
        <f t="shared" si="3"/>
        <v>157861.5</v>
      </c>
    </row>
    <row r="223" spans="1:12" x14ac:dyDescent="0.3">
      <c r="A223" s="31">
        <v>70</v>
      </c>
      <c r="B223" s="33" t="s">
        <v>120</v>
      </c>
      <c r="C223" s="33" t="s">
        <v>55</v>
      </c>
      <c r="D223" s="17">
        <v>567720</v>
      </c>
      <c r="E223" s="7">
        <v>551731</v>
      </c>
      <c r="F223" s="17">
        <v>90820</v>
      </c>
      <c r="G223" s="17">
        <v>63</v>
      </c>
      <c r="H223" s="17">
        <v>55385</v>
      </c>
      <c r="I223" s="17">
        <v>48652</v>
      </c>
      <c r="J223" s="17">
        <v>90335</v>
      </c>
      <c r="K223" s="6">
        <v>2021</v>
      </c>
      <c r="L223" s="12">
        <f t="shared" si="3"/>
        <v>174484</v>
      </c>
    </row>
    <row r="224" spans="1:12" x14ac:dyDescent="0.3">
      <c r="A224" s="31">
        <v>71</v>
      </c>
      <c r="B224" s="33" t="s">
        <v>71</v>
      </c>
      <c r="C224" s="33" t="s">
        <v>26</v>
      </c>
      <c r="D224" s="17">
        <v>565260</v>
      </c>
      <c r="E224" s="7">
        <v>561302</v>
      </c>
      <c r="F224" s="17">
        <v>82782</v>
      </c>
      <c r="G224" s="17">
        <v>66</v>
      </c>
      <c r="H224" s="17">
        <v>84076</v>
      </c>
      <c r="I224" s="17">
        <v>38118</v>
      </c>
      <c r="J224" s="17">
        <v>93275</v>
      </c>
      <c r="K224" s="6">
        <v>2021</v>
      </c>
      <c r="L224" s="12">
        <f t="shared" si="3"/>
        <v>182040</v>
      </c>
    </row>
    <row r="225" spans="1:12" x14ac:dyDescent="0.3">
      <c r="A225" s="31">
        <v>72</v>
      </c>
      <c r="B225" s="33" t="s">
        <v>102</v>
      </c>
      <c r="C225" s="33" t="s">
        <v>47</v>
      </c>
      <c r="D225" s="17">
        <v>558050</v>
      </c>
      <c r="E225" s="7">
        <v>659448</v>
      </c>
      <c r="F225" s="17">
        <v>76034</v>
      </c>
      <c r="G225" s="17">
        <v>69</v>
      </c>
      <c r="H225" s="17">
        <v>55432</v>
      </c>
      <c r="I225" s="17">
        <v>30606</v>
      </c>
      <c r="J225" s="17">
        <v>85181</v>
      </c>
      <c r="K225" s="6">
        <v>2021</v>
      </c>
      <c r="L225" s="12">
        <f t="shared" si="3"/>
        <v>197728.5</v>
      </c>
    </row>
    <row r="226" spans="1:12" x14ac:dyDescent="0.3">
      <c r="A226" s="31">
        <v>73</v>
      </c>
      <c r="B226" s="33" t="s">
        <v>118</v>
      </c>
      <c r="C226" s="33" t="s">
        <v>26</v>
      </c>
      <c r="D226" s="17">
        <v>554510</v>
      </c>
      <c r="E226" s="7">
        <v>631987</v>
      </c>
      <c r="F226" s="17">
        <v>75007</v>
      </c>
      <c r="G226" s="17">
        <v>66</v>
      </c>
      <c r="H226" s="17">
        <v>81207</v>
      </c>
      <c r="I226" s="17">
        <v>18665</v>
      </c>
      <c r="J226" s="17">
        <v>73737</v>
      </c>
      <c r="K226" s="6">
        <v>2021</v>
      </c>
      <c r="L226" s="12">
        <f t="shared" si="3"/>
        <v>197050.25</v>
      </c>
    </row>
    <row r="227" spans="1:12" x14ac:dyDescent="0.3">
      <c r="A227" s="31">
        <v>75</v>
      </c>
      <c r="B227" s="33" t="s">
        <v>77</v>
      </c>
      <c r="C227" s="33" t="s">
        <v>62</v>
      </c>
      <c r="D227" s="17">
        <v>553350</v>
      </c>
      <c r="E227" s="7">
        <v>642137</v>
      </c>
      <c r="F227" s="17">
        <v>85914</v>
      </c>
      <c r="G227" s="17">
        <v>66</v>
      </c>
      <c r="H227" s="17">
        <v>45531</v>
      </c>
      <c r="I227" s="17">
        <v>12996</v>
      </c>
      <c r="J227" s="17">
        <v>63534</v>
      </c>
      <c r="K227" s="6">
        <v>2021</v>
      </c>
      <c r="L227" s="12">
        <f t="shared" si="3"/>
        <v>193395.5</v>
      </c>
    </row>
    <row r="228" spans="1:12" x14ac:dyDescent="0.3">
      <c r="A228" s="31">
        <v>76</v>
      </c>
      <c r="B228" s="33" t="s">
        <v>82</v>
      </c>
      <c r="C228" s="33" t="s">
        <v>62</v>
      </c>
      <c r="D228" s="17">
        <v>547720</v>
      </c>
      <c r="E228" s="7">
        <v>709090</v>
      </c>
      <c r="F228" s="17">
        <v>84612</v>
      </c>
      <c r="G228" s="17">
        <v>65</v>
      </c>
      <c r="H228" s="17">
        <v>57157</v>
      </c>
      <c r="I228" s="17">
        <v>21297</v>
      </c>
      <c r="J228" s="17">
        <v>88952</v>
      </c>
      <c r="K228" s="6">
        <v>2021</v>
      </c>
      <c r="L228" s="12">
        <f t="shared" si="3"/>
        <v>212714.75</v>
      </c>
    </row>
    <row r="229" spans="1:12" x14ac:dyDescent="0.3">
      <c r="A229" s="31">
        <v>77</v>
      </c>
      <c r="B229" s="33" t="s">
        <v>185</v>
      </c>
      <c r="C229" s="33" t="s">
        <v>55</v>
      </c>
      <c r="D229" s="17">
        <v>547670</v>
      </c>
      <c r="E229" s="7">
        <v>871040</v>
      </c>
      <c r="F229" s="17">
        <v>71719</v>
      </c>
      <c r="G229" s="17">
        <v>77</v>
      </c>
      <c r="H229" s="17">
        <v>56946</v>
      </c>
      <c r="I229" s="17">
        <v>42846</v>
      </c>
      <c r="J229" s="17">
        <v>37404</v>
      </c>
      <c r="K229" s="6">
        <v>2021</v>
      </c>
      <c r="L229" s="12">
        <f t="shared" si="3"/>
        <v>249926.25</v>
      </c>
    </row>
    <row r="230" spans="1:12" x14ac:dyDescent="0.3">
      <c r="A230" s="31">
        <v>78</v>
      </c>
      <c r="B230" s="33" t="s">
        <v>126</v>
      </c>
      <c r="C230" s="33" t="s">
        <v>62</v>
      </c>
      <c r="D230" s="17">
        <v>546620</v>
      </c>
      <c r="E230" s="7">
        <v>290437</v>
      </c>
      <c r="F230" s="17">
        <v>76318</v>
      </c>
      <c r="G230" s="17">
        <v>64</v>
      </c>
      <c r="H230" s="17">
        <v>76524</v>
      </c>
      <c r="I230" s="17">
        <v>28008</v>
      </c>
      <c r="J230" s="17">
        <v>54898</v>
      </c>
      <c r="K230" s="6">
        <v>2021</v>
      </c>
      <c r="L230" s="12">
        <f t="shared" si="3"/>
        <v>110819.75</v>
      </c>
    </row>
    <row r="231" spans="1:12" x14ac:dyDescent="0.3">
      <c r="A231" s="31">
        <v>79</v>
      </c>
      <c r="B231" s="33" t="s">
        <v>94</v>
      </c>
      <c r="C231" s="33" t="s">
        <v>39</v>
      </c>
      <c r="D231" s="17">
        <v>541080</v>
      </c>
      <c r="E231" s="7">
        <v>466518</v>
      </c>
      <c r="F231" s="17">
        <v>74449</v>
      </c>
      <c r="G231" s="17">
        <v>68</v>
      </c>
      <c r="H231" s="17">
        <v>94810</v>
      </c>
      <c r="I231" s="17">
        <v>22965</v>
      </c>
      <c r="J231" s="17">
        <v>83330</v>
      </c>
      <c r="K231" s="6">
        <v>2021</v>
      </c>
      <c r="L231" s="12">
        <f t="shared" si="3"/>
        <v>158944.25</v>
      </c>
    </row>
    <row r="232" spans="1:12" x14ac:dyDescent="0.3">
      <c r="A232" s="31">
        <v>80</v>
      </c>
      <c r="B232" s="33" t="s">
        <v>81</v>
      </c>
      <c r="C232" s="33" t="s">
        <v>24</v>
      </c>
      <c r="D232" s="17">
        <v>541030</v>
      </c>
      <c r="E232" s="7">
        <v>596054</v>
      </c>
      <c r="F232" s="17">
        <v>70026</v>
      </c>
      <c r="G232" s="17">
        <v>62</v>
      </c>
      <c r="H232" s="17">
        <v>66168</v>
      </c>
      <c r="I232" s="17">
        <v>24287</v>
      </c>
      <c r="J232" s="17">
        <v>68190</v>
      </c>
      <c r="K232" s="6">
        <v>2021</v>
      </c>
      <c r="L232" s="12">
        <f t="shared" si="3"/>
        <v>183062</v>
      </c>
    </row>
    <row r="233" spans="1:12" x14ac:dyDescent="0.3">
      <c r="A233" s="31">
        <v>81</v>
      </c>
      <c r="B233" s="33" t="s">
        <v>79</v>
      </c>
      <c r="C233" s="33" t="s">
        <v>39</v>
      </c>
      <c r="D233" s="17">
        <v>538430</v>
      </c>
      <c r="E233" s="7">
        <v>718950</v>
      </c>
      <c r="F233" s="17">
        <v>68016</v>
      </c>
      <c r="G233" s="17">
        <v>67</v>
      </c>
      <c r="H233" s="17">
        <v>87168</v>
      </c>
      <c r="I233" s="17">
        <v>49831</v>
      </c>
      <c r="J233" s="17">
        <v>88332</v>
      </c>
      <c r="K233" s="6">
        <v>2021</v>
      </c>
      <c r="L233" s="12">
        <f t="shared" si="3"/>
        <v>218533.5</v>
      </c>
    </row>
    <row r="234" spans="1:12" x14ac:dyDescent="0.3">
      <c r="A234" s="31">
        <v>82</v>
      </c>
      <c r="B234" s="33" t="s">
        <v>93</v>
      </c>
      <c r="C234" s="33" t="s">
        <v>39</v>
      </c>
      <c r="D234" s="17">
        <v>534450</v>
      </c>
      <c r="E234" s="7">
        <v>544669</v>
      </c>
      <c r="F234" s="17">
        <v>67036</v>
      </c>
      <c r="G234" s="17">
        <v>62</v>
      </c>
      <c r="H234" s="17">
        <v>83471</v>
      </c>
      <c r="I234" s="17">
        <v>100000</v>
      </c>
      <c r="J234" s="17">
        <v>91599</v>
      </c>
      <c r="K234" s="6">
        <v>2021</v>
      </c>
      <c r="L234" s="12">
        <f t="shared" si="3"/>
        <v>173794</v>
      </c>
    </row>
    <row r="235" spans="1:12" x14ac:dyDescent="0.3">
      <c r="A235" s="31">
        <v>83</v>
      </c>
      <c r="B235" s="33" t="s">
        <v>159</v>
      </c>
      <c r="C235" s="33" t="s">
        <v>90</v>
      </c>
      <c r="D235" s="17">
        <v>534170</v>
      </c>
      <c r="E235" s="7">
        <v>295714</v>
      </c>
      <c r="F235" s="17">
        <v>33417</v>
      </c>
      <c r="G235" s="17">
        <v>58</v>
      </c>
      <c r="H235" s="17">
        <v>53194</v>
      </c>
      <c r="I235" s="17">
        <v>26589</v>
      </c>
      <c r="J235" s="17">
        <v>77295</v>
      </c>
      <c r="K235" s="6">
        <v>2021</v>
      </c>
      <c r="L235" s="12">
        <f t="shared" si="3"/>
        <v>95581.25</v>
      </c>
    </row>
    <row r="236" spans="1:12" x14ac:dyDescent="0.3">
      <c r="A236" s="31">
        <v>84</v>
      </c>
      <c r="B236" s="33" t="s">
        <v>104</v>
      </c>
      <c r="C236" s="33" t="s">
        <v>55</v>
      </c>
      <c r="D236" s="17">
        <v>533910</v>
      </c>
      <c r="E236" s="7">
        <v>606207</v>
      </c>
      <c r="F236" s="17">
        <v>66924</v>
      </c>
      <c r="G236" s="17">
        <v>70</v>
      </c>
      <c r="H236" s="17">
        <v>88810</v>
      </c>
      <c r="I236" s="17">
        <v>17144</v>
      </c>
      <c r="J236" s="17">
        <v>78545</v>
      </c>
      <c r="K236" s="6">
        <v>2021</v>
      </c>
      <c r="L236" s="12">
        <f t="shared" si="3"/>
        <v>190485.25</v>
      </c>
    </row>
    <row r="237" spans="1:12" x14ac:dyDescent="0.3">
      <c r="A237" s="31">
        <v>85</v>
      </c>
      <c r="B237" s="33" t="s">
        <v>171</v>
      </c>
      <c r="C237" s="33" t="s">
        <v>90</v>
      </c>
      <c r="D237" s="17">
        <v>530600</v>
      </c>
      <c r="E237" s="7">
        <v>382295</v>
      </c>
      <c r="F237" s="17">
        <v>34881</v>
      </c>
      <c r="G237" s="17">
        <v>50</v>
      </c>
      <c r="H237" s="17">
        <v>61136</v>
      </c>
      <c r="I237" s="17">
        <v>32742</v>
      </c>
      <c r="J237" s="17">
        <v>83103</v>
      </c>
      <c r="K237" s="6">
        <v>2021</v>
      </c>
      <c r="L237" s="12">
        <f t="shared" si="3"/>
        <v>119578</v>
      </c>
    </row>
    <row r="238" spans="1:12" x14ac:dyDescent="0.3">
      <c r="A238" s="31">
        <v>86</v>
      </c>
      <c r="B238" s="33" t="s">
        <v>147</v>
      </c>
      <c r="C238" s="33" t="s">
        <v>62</v>
      </c>
      <c r="D238" s="17">
        <v>528260</v>
      </c>
      <c r="E238" s="7">
        <v>569131</v>
      </c>
      <c r="F238" s="17">
        <v>64658</v>
      </c>
      <c r="G238" s="17">
        <v>67</v>
      </c>
      <c r="H238" s="17">
        <v>75390</v>
      </c>
      <c r="I238" s="17">
        <v>14524</v>
      </c>
      <c r="J238" s="17">
        <v>63853</v>
      </c>
      <c r="K238" s="6">
        <v>2021</v>
      </c>
      <c r="L238" s="12">
        <f t="shared" si="3"/>
        <v>177294.75</v>
      </c>
    </row>
    <row r="239" spans="1:12" x14ac:dyDescent="0.3">
      <c r="A239" s="31">
        <v>87</v>
      </c>
      <c r="B239" s="33" t="s">
        <v>141</v>
      </c>
      <c r="C239" s="33" t="s">
        <v>99</v>
      </c>
      <c r="D239" s="17">
        <v>526890</v>
      </c>
      <c r="E239" s="7">
        <v>296276</v>
      </c>
      <c r="F239" s="17">
        <v>59919</v>
      </c>
      <c r="G239" s="17">
        <v>64</v>
      </c>
      <c r="H239" s="17">
        <v>68106</v>
      </c>
      <c r="I239" s="17">
        <v>53051</v>
      </c>
      <c r="J239" s="17">
        <v>75292</v>
      </c>
      <c r="K239" s="6">
        <v>2021</v>
      </c>
      <c r="L239" s="12">
        <f t="shared" si="3"/>
        <v>106075.25</v>
      </c>
    </row>
    <row r="240" spans="1:12" x14ac:dyDescent="0.3">
      <c r="A240" s="31">
        <v>88</v>
      </c>
      <c r="B240" s="33" t="s">
        <v>154</v>
      </c>
      <c r="C240" s="33" t="s">
        <v>47</v>
      </c>
      <c r="D240" s="17">
        <v>526550</v>
      </c>
      <c r="E240" s="7">
        <v>674535</v>
      </c>
      <c r="F240" s="17">
        <v>89975</v>
      </c>
      <c r="G240" s="17">
        <v>67</v>
      </c>
      <c r="H240" s="17">
        <v>69022</v>
      </c>
      <c r="I240" s="17">
        <v>23100</v>
      </c>
      <c r="J240" s="17">
        <v>99157</v>
      </c>
      <c r="K240" s="6">
        <v>2021</v>
      </c>
      <c r="L240" s="12">
        <f t="shared" si="3"/>
        <v>208383</v>
      </c>
    </row>
    <row r="241" spans="1:12" x14ac:dyDescent="0.3">
      <c r="A241" s="31">
        <v>89</v>
      </c>
      <c r="B241" s="33" t="s">
        <v>190</v>
      </c>
      <c r="C241" s="33" t="s">
        <v>55</v>
      </c>
      <c r="D241" s="17">
        <v>519760</v>
      </c>
      <c r="E241" s="7">
        <v>636701</v>
      </c>
      <c r="F241" s="17">
        <v>86590</v>
      </c>
      <c r="G241" s="17">
        <v>71</v>
      </c>
      <c r="H241" s="17">
        <v>80256</v>
      </c>
      <c r="I241" s="17">
        <v>37622</v>
      </c>
      <c r="J241" s="17">
        <v>86623</v>
      </c>
      <c r="K241" s="6">
        <v>2021</v>
      </c>
      <c r="L241" s="12">
        <f t="shared" si="3"/>
        <v>200886.75</v>
      </c>
    </row>
    <row r="242" spans="1:12" x14ac:dyDescent="0.3">
      <c r="A242" s="31">
        <v>90</v>
      </c>
      <c r="B242" s="33" t="s">
        <v>100</v>
      </c>
      <c r="C242" s="33" t="s">
        <v>62</v>
      </c>
      <c r="D242" s="17">
        <v>517080</v>
      </c>
      <c r="E242" s="7">
        <v>585365</v>
      </c>
      <c r="F242" s="17">
        <v>71746</v>
      </c>
      <c r="G242" s="17">
        <v>66</v>
      </c>
      <c r="H242" s="17">
        <v>73492</v>
      </c>
      <c r="I242" s="17">
        <v>7907</v>
      </c>
      <c r="J242" s="17">
        <v>49513</v>
      </c>
      <c r="K242" s="6">
        <v>2021</v>
      </c>
      <c r="L242" s="12">
        <f t="shared" si="3"/>
        <v>182650.75</v>
      </c>
    </row>
    <row r="243" spans="1:12" x14ac:dyDescent="0.3">
      <c r="A243" s="31">
        <v>91</v>
      </c>
      <c r="B243" s="33" t="s">
        <v>153</v>
      </c>
      <c r="C243" s="33" t="s">
        <v>90</v>
      </c>
      <c r="D243" s="17">
        <v>514180</v>
      </c>
      <c r="E243" s="7">
        <v>310058</v>
      </c>
      <c r="F243" s="17">
        <v>47471</v>
      </c>
      <c r="G243" s="17">
        <v>54</v>
      </c>
      <c r="H243" s="17">
        <v>59393</v>
      </c>
      <c r="I243" s="17">
        <v>37820</v>
      </c>
      <c r="J243" s="17">
        <v>89303</v>
      </c>
      <c r="K243" s="6">
        <v>2021</v>
      </c>
      <c r="L243" s="12">
        <f t="shared" si="3"/>
        <v>104230.5</v>
      </c>
    </row>
    <row r="244" spans="1:12" x14ac:dyDescent="0.3">
      <c r="A244" s="31">
        <v>92</v>
      </c>
      <c r="B244" s="33" t="s">
        <v>162</v>
      </c>
      <c r="C244" s="33" t="s">
        <v>90</v>
      </c>
      <c r="D244" s="17">
        <v>513180</v>
      </c>
      <c r="E244" s="7">
        <v>295906</v>
      </c>
      <c r="F244" s="17">
        <v>47591</v>
      </c>
      <c r="G244" s="17">
        <v>60</v>
      </c>
      <c r="H244" s="17">
        <v>53276</v>
      </c>
      <c r="I244" s="17">
        <v>29185</v>
      </c>
      <c r="J244" s="17">
        <v>83836</v>
      </c>
      <c r="K244" s="6">
        <v>2021</v>
      </c>
      <c r="L244" s="12">
        <f t="shared" si="3"/>
        <v>99193.25</v>
      </c>
    </row>
    <row r="245" spans="1:12" x14ac:dyDescent="0.3">
      <c r="A245" s="31">
        <v>93</v>
      </c>
      <c r="B245" s="33" t="s">
        <v>115</v>
      </c>
      <c r="C245" s="33" t="s">
        <v>47</v>
      </c>
      <c r="D245" s="17">
        <v>511740</v>
      </c>
      <c r="E245" s="7">
        <v>575740</v>
      </c>
      <c r="F245" s="17">
        <v>45126</v>
      </c>
      <c r="G245" s="17">
        <v>69</v>
      </c>
      <c r="H245" s="17">
        <v>68576</v>
      </c>
      <c r="I245" s="17">
        <v>31123</v>
      </c>
      <c r="J245" s="17">
        <v>95529</v>
      </c>
      <c r="K245" s="6">
        <v>2021</v>
      </c>
      <c r="L245" s="12">
        <f t="shared" si="3"/>
        <v>172360.5</v>
      </c>
    </row>
    <row r="246" spans="1:12" x14ac:dyDescent="0.3">
      <c r="A246" s="31">
        <v>94</v>
      </c>
      <c r="B246" s="33" t="s">
        <v>191</v>
      </c>
      <c r="C246" s="33" t="s">
        <v>47</v>
      </c>
      <c r="D246" s="17">
        <v>510120</v>
      </c>
      <c r="E246" s="7">
        <v>610203</v>
      </c>
      <c r="F246" s="17">
        <v>65815</v>
      </c>
      <c r="G246" s="17">
        <v>65</v>
      </c>
      <c r="H246" s="17">
        <v>62789</v>
      </c>
      <c r="I246" s="17">
        <v>39250</v>
      </c>
      <c r="J246" s="17">
        <v>96015</v>
      </c>
      <c r="K246" s="6">
        <v>2021</v>
      </c>
      <c r="L246" s="12">
        <f t="shared" si="3"/>
        <v>184701.75</v>
      </c>
    </row>
    <row r="247" spans="1:12" x14ac:dyDescent="0.3">
      <c r="A247" s="31">
        <v>95</v>
      </c>
      <c r="B247" s="33" t="s">
        <v>134</v>
      </c>
      <c r="C247" s="33" t="s">
        <v>90</v>
      </c>
      <c r="D247" s="17">
        <v>508840</v>
      </c>
      <c r="E247" s="7">
        <v>388112</v>
      </c>
      <c r="F247" s="17">
        <v>50767</v>
      </c>
      <c r="G247" s="17">
        <v>58</v>
      </c>
      <c r="H247" s="17">
        <v>72191</v>
      </c>
      <c r="I247" s="17">
        <v>49597</v>
      </c>
      <c r="J247" s="17">
        <v>89369</v>
      </c>
      <c r="K247" s="6">
        <v>2021</v>
      </c>
      <c r="L247" s="12">
        <f t="shared" si="3"/>
        <v>127767.5</v>
      </c>
    </row>
    <row r="248" spans="1:12" x14ac:dyDescent="0.3">
      <c r="A248" s="31">
        <v>96</v>
      </c>
      <c r="B248" s="33" t="s">
        <v>164</v>
      </c>
      <c r="C248" s="33" t="s">
        <v>90</v>
      </c>
      <c r="D248" s="17">
        <v>507410</v>
      </c>
      <c r="E248" s="7">
        <v>92251</v>
      </c>
      <c r="F248" s="17">
        <v>34312</v>
      </c>
      <c r="G248" s="17">
        <v>54</v>
      </c>
      <c r="H248" s="17">
        <v>72126</v>
      </c>
      <c r="I248" s="17">
        <v>36953</v>
      </c>
      <c r="J248" s="17">
        <v>71215</v>
      </c>
      <c r="K248" s="6">
        <v>2021</v>
      </c>
      <c r="L248" s="12">
        <f t="shared" si="3"/>
        <v>49672.25</v>
      </c>
    </row>
    <row r="249" spans="1:12" x14ac:dyDescent="0.3">
      <c r="A249" s="31">
        <v>97</v>
      </c>
      <c r="B249" s="33" t="s">
        <v>88</v>
      </c>
      <c r="C249" s="33" t="s">
        <v>62</v>
      </c>
      <c r="D249" s="17">
        <v>506640</v>
      </c>
      <c r="E249" s="7">
        <v>597458</v>
      </c>
      <c r="F249" s="17">
        <v>99988</v>
      </c>
      <c r="G249" s="17">
        <v>62</v>
      </c>
      <c r="H249" s="17">
        <v>84118</v>
      </c>
      <c r="I249" s="17">
        <v>67612</v>
      </c>
      <c r="J249" s="17">
        <v>94017</v>
      </c>
      <c r="K249" s="6">
        <v>2021</v>
      </c>
      <c r="L249" s="12">
        <f t="shared" si="3"/>
        <v>195391</v>
      </c>
    </row>
    <row r="250" spans="1:12" x14ac:dyDescent="0.3">
      <c r="A250" s="31">
        <v>98</v>
      </c>
      <c r="B250" s="33" t="s">
        <v>189</v>
      </c>
      <c r="C250" s="33" t="s">
        <v>90</v>
      </c>
      <c r="D250" s="17">
        <v>505100</v>
      </c>
      <c r="E250" s="7">
        <v>209648</v>
      </c>
      <c r="F250" s="17">
        <v>43630</v>
      </c>
      <c r="G250" s="17">
        <v>55</v>
      </c>
      <c r="H250" s="17">
        <v>53587</v>
      </c>
      <c r="I250" s="17">
        <v>85851</v>
      </c>
      <c r="J250" s="17">
        <v>77446</v>
      </c>
      <c r="K250" s="6">
        <v>2021</v>
      </c>
      <c r="L250" s="12">
        <f t="shared" si="3"/>
        <v>76716.25</v>
      </c>
    </row>
    <row r="251" spans="1:12" x14ac:dyDescent="0.3">
      <c r="A251" s="31">
        <v>99</v>
      </c>
      <c r="B251" s="33" t="s">
        <v>175</v>
      </c>
      <c r="C251" s="33" t="s">
        <v>90</v>
      </c>
      <c r="D251" s="17">
        <v>504520</v>
      </c>
      <c r="E251" s="7">
        <v>289676</v>
      </c>
      <c r="F251" s="17">
        <v>4981</v>
      </c>
      <c r="G251" s="17">
        <v>55</v>
      </c>
      <c r="H251" s="17">
        <v>63859</v>
      </c>
      <c r="I251" s="17">
        <v>30655</v>
      </c>
      <c r="J251" s="17">
        <v>67503</v>
      </c>
      <c r="K251" s="6">
        <v>2021</v>
      </c>
      <c r="L251" s="12">
        <f t="shared" si="3"/>
        <v>89629</v>
      </c>
    </row>
    <row r="252" spans="1:12" x14ac:dyDescent="0.3">
      <c r="A252" s="31">
        <v>100</v>
      </c>
      <c r="B252" s="33" t="s">
        <v>119</v>
      </c>
      <c r="C252" s="33" t="s">
        <v>55</v>
      </c>
      <c r="D252" s="17">
        <v>503000</v>
      </c>
      <c r="E252" s="7">
        <v>461369</v>
      </c>
      <c r="F252" s="17">
        <v>51001</v>
      </c>
      <c r="G252" s="17">
        <v>59</v>
      </c>
      <c r="H252" s="17">
        <v>89789</v>
      </c>
      <c r="I252" s="17">
        <v>49571</v>
      </c>
      <c r="J252" s="17">
        <v>67209</v>
      </c>
      <c r="K252" s="6">
        <v>2021</v>
      </c>
      <c r="L252" s="12">
        <f t="shared" si="3"/>
        <v>150539.75</v>
      </c>
    </row>
    <row r="253" spans="1:12" x14ac:dyDescent="0.3">
      <c r="A253" s="31">
        <v>101</v>
      </c>
      <c r="B253" s="33" t="s">
        <v>129</v>
      </c>
      <c r="C253" s="33" t="s">
        <v>99</v>
      </c>
      <c r="D253" s="17">
        <v>502460</v>
      </c>
      <c r="E253" s="7">
        <v>362965</v>
      </c>
      <c r="F253" s="17">
        <v>44354</v>
      </c>
      <c r="G253" s="17">
        <v>65</v>
      </c>
      <c r="H253" s="17">
        <v>84173</v>
      </c>
      <c r="I253" s="17">
        <v>29746</v>
      </c>
      <c r="J253" s="17">
        <v>69948</v>
      </c>
      <c r="K253" s="6">
        <v>2021</v>
      </c>
      <c r="L253" s="12">
        <f t="shared" si="3"/>
        <v>122873</v>
      </c>
    </row>
    <row r="254" spans="1:12" x14ac:dyDescent="0.3">
      <c r="A254" s="31">
        <v>102</v>
      </c>
      <c r="B254" s="33" t="s">
        <v>170</v>
      </c>
      <c r="C254" s="33" t="s">
        <v>90</v>
      </c>
      <c r="D254" s="17">
        <v>498430</v>
      </c>
      <c r="E254" s="7">
        <v>239946</v>
      </c>
      <c r="F254" s="17">
        <v>33995</v>
      </c>
      <c r="G254" s="17">
        <v>55</v>
      </c>
      <c r="H254" s="17">
        <v>53616</v>
      </c>
      <c r="I254" s="17">
        <v>46141</v>
      </c>
      <c r="J254" s="17">
        <v>79789</v>
      </c>
      <c r="K254" s="6">
        <v>2021</v>
      </c>
      <c r="L254" s="12">
        <f t="shared" si="3"/>
        <v>81889.25</v>
      </c>
    </row>
    <row r="255" spans="1:12" x14ac:dyDescent="0.3">
      <c r="A255" s="31">
        <v>103</v>
      </c>
      <c r="B255" s="33" t="s">
        <v>133</v>
      </c>
      <c r="C255" s="33" t="s">
        <v>90</v>
      </c>
      <c r="D255" s="17">
        <v>495640</v>
      </c>
      <c r="E255" s="7">
        <v>552209</v>
      </c>
      <c r="F255" s="17">
        <v>76313</v>
      </c>
      <c r="G255" s="17">
        <v>57</v>
      </c>
      <c r="H255" s="17">
        <v>62482</v>
      </c>
      <c r="I255" s="17">
        <v>26655</v>
      </c>
      <c r="J255" s="17">
        <v>90697</v>
      </c>
      <c r="K255" s="6">
        <v>2021</v>
      </c>
      <c r="L255" s="12">
        <f t="shared" si="3"/>
        <v>172751</v>
      </c>
    </row>
    <row r="256" spans="1:12" x14ac:dyDescent="0.3">
      <c r="A256" s="31">
        <v>104</v>
      </c>
      <c r="B256" s="33" t="s">
        <v>95</v>
      </c>
      <c r="C256" s="33" t="s">
        <v>24</v>
      </c>
      <c r="D256" s="17">
        <v>494760</v>
      </c>
      <c r="E256" s="7">
        <v>719412</v>
      </c>
      <c r="F256" s="17">
        <v>69028</v>
      </c>
      <c r="G256" s="17">
        <v>67</v>
      </c>
      <c r="H256" s="17">
        <v>32981</v>
      </c>
      <c r="I256" s="17">
        <v>17921</v>
      </c>
      <c r="J256" s="17">
        <v>80903</v>
      </c>
      <c r="K256" s="6">
        <v>2021</v>
      </c>
      <c r="L256" s="12">
        <f t="shared" si="3"/>
        <v>205355.25</v>
      </c>
    </row>
    <row r="257" spans="1:12" x14ac:dyDescent="0.3">
      <c r="A257" s="31">
        <v>105</v>
      </c>
      <c r="B257" s="33" t="s">
        <v>101</v>
      </c>
      <c r="C257" s="33" t="s">
        <v>99</v>
      </c>
      <c r="D257" s="17">
        <v>493400</v>
      </c>
      <c r="E257" s="7">
        <v>363774</v>
      </c>
      <c r="F257" s="17">
        <v>36125</v>
      </c>
      <c r="G257" s="17">
        <v>59</v>
      </c>
      <c r="H257" s="17">
        <v>58436</v>
      </c>
      <c r="I257" s="17">
        <v>46489</v>
      </c>
      <c r="J257" s="17">
        <v>82229</v>
      </c>
      <c r="K257" s="6">
        <v>2021</v>
      </c>
      <c r="L257" s="12">
        <f t="shared" si="3"/>
        <v>114583.75</v>
      </c>
    </row>
    <row r="258" spans="1:12" x14ac:dyDescent="0.3">
      <c r="A258" s="31">
        <v>106</v>
      </c>
      <c r="B258" s="33" t="s">
        <v>112</v>
      </c>
      <c r="C258" s="33" t="s">
        <v>24</v>
      </c>
      <c r="D258" s="17">
        <v>491800</v>
      </c>
      <c r="E258" s="7">
        <v>452474</v>
      </c>
      <c r="F258" s="17">
        <v>18719</v>
      </c>
      <c r="G258" s="17">
        <v>66</v>
      </c>
      <c r="H258" s="17">
        <v>66589</v>
      </c>
      <c r="I258" s="17">
        <v>6321</v>
      </c>
      <c r="J258" s="17">
        <v>83919</v>
      </c>
      <c r="K258" s="6">
        <v>2021</v>
      </c>
      <c r="L258" s="12">
        <f t="shared" si="3"/>
        <v>134445.5</v>
      </c>
    </row>
    <row r="259" spans="1:12" x14ac:dyDescent="0.3">
      <c r="A259" s="31">
        <v>107</v>
      </c>
      <c r="B259" s="33" t="s">
        <v>37</v>
      </c>
      <c r="C259" s="33" t="s">
        <v>26</v>
      </c>
      <c r="D259" s="17">
        <v>489220</v>
      </c>
      <c r="E259" s="7">
        <v>486463</v>
      </c>
      <c r="F259" s="17">
        <v>76552</v>
      </c>
      <c r="G259" s="17">
        <v>67</v>
      </c>
      <c r="H259" s="17">
        <v>39707</v>
      </c>
      <c r="I259" s="17">
        <v>14390</v>
      </c>
      <c r="J259" s="17">
        <v>86857</v>
      </c>
      <c r="K259" s="6">
        <v>2021</v>
      </c>
      <c r="L259" s="12">
        <f t="shared" ref="L259:L322" si="4">AVERAGE(E259,F259,H259,)</f>
        <v>150680.5</v>
      </c>
    </row>
    <row r="260" spans="1:12" x14ac:dyDescent="0.3">
      <c r="A260" s="31">
        <v>108</v>
      </c>
      <c r="B260" s="33" t="s">
        <v>150</v>
      </c>
      <c r="C260" s="33" t="s">
        <v>62</v>
      </c>
      <c r="D260" s="17">
        <v>489140</v>
      </c>
      <c r="E260" s="7">
        <v>588527</v>
      </c>
      <c r="F260" s="17">
        <v>40074</v>
      </c>
      <c r="G260" s="17">
        <v>64</v>
      </c>
      <c r="H260" s="17">
        <v>68128</v>
      </c>
      <c r="I260" s="17">
        <v>5991</v>
      </c>
      <c r="J260" s="17">
        <v>66835</v>
      </c>
      <c r="K260" s="6">
        <v>2021</v>
      </c>
      <c r="L260" s="12">
        <f t="shared" si="4"/>
        <v>174182.25</v>
      </c>
    </row>
    <row r="261" spans="1:12" x14ac:dyDescent="0.3">
      <c r="A261" s="31">
        <v>109</v>
      </c>
      <c r="B261" s="33" t="s">
        <v>86</v>
      </c>
      <c r="C261" s="33" t="s">
        <v>24</v>
      </c>
      <c r="D261" s="17">
        <v>488710</v>
      </c>
      <c r="E261" s="7">
        <v>540196</v>
      </c>
      <c r="F261" s="17">
        <v>65216</v>
      </c>
      <c r="G261" s="17">
        <v>66</v>
      </c>
      <c r="H261" s="17">
        <v>16650</v>
      </c>
      <c r="I261" s="17">
        <v>26656</v>
      </c>
      <c r="J261" s="17">
        <v>78135</v>
      </c>
      <c r="K261" s="6">
        <v>2021</v>
      </c>
      <c r="L261" s="12">
        <f t="shared" si="4"/>
        <v>155515.5</v>
      </c>
    </row>
    <row r="262" spans="1:12" x14ac:dyDescent="0.3">
      <c r="A262" s="31">
        <v>110</v>
      </c>
      <c r="B262" s="33" t="s">
        <v>131</v>
      </c>
      <c r="C262" s="33" t="s">
        <v>62</v>
      </c>
      <c r="D262" s="17">
        <v>487480</v>
      </c>
      <c r="E262" s="7">
        <v>558894</v>
      </c>
      <c r="F262" s="17">
        <v>81739</v>
      </c>
      <c r="G262" s="17">
        <v>65</v>
      </c>
      <c r="H262" s="17">
        <v>58244</v>
      </c>
      <c r="I262" s="17">
        <v>33400</v>
      </c>
      <c r="J262" s="17">
        <v>98189</v>
      </c>
      <c r="K262" s="6">
        <v>2021</v>
      </c>
      <c r="L262" s="12">
        <f t="shared" si="4"/>
        <v>174719.25</v>
      </c>
    </row>
    <row r="263" spans="1:12" x14ac:dyDescent="0.3">
      <c r="A263" s="31">
        <v>111</v>
      </c>
      <c r="B263" s="33" t="s">
        <v>132</v>
      </c>
      <c r="C263" s="33" t="s">
        <v>24</v>
      </c>
      <c r="D263" s="17">
        <v>485410</v>
      </c>
      <c r="E263" s="7">
        <v>519779</v>
      </c>
      <c r="F263" s="17">
        <v>54407</v>
      </c>
      <c r="G263" s="17">
        <v>61</v>
      </c>
      <c r="H263" s="17">
        <v>42152</v>
      </c>
      <c r="I263" s="17">
        <v>28332</v>
      </c>
      <c r="J263" s="17">
        <v>92520</v>
      </c>
      <c r="K263" s="6">
        <v>2021</v>
      </c>
      <c r="L263" s="12">
        <f t="shared" si="4"/>
        <v>154084.5</v>
      </c>
    </row>
    <row r="264" spans="1:12" x14ac:dyDescent="0.3">
      <c r="A264" s="31">
        <v>112</v>
      </c>
      <c r="B264" s="33" t="s">
        <v>163</v>
      </c>
      <c r="C264" s="33" t="s">
        <v>90</v>
      </c>
      <c r="D264" s="17">
        <v>485180</v>
      </c>
      <c r="E264" s="7">
        <v>592207</v>
      </c>
      <c r="F264" s="17">
        <v>60308</v>
      </c>
      <c r="G264" s="17">
        <v>60</v>
      </c>
      <c r="H264" s="17">
        <v>59282</v>
      </c>
      <c r="I264" s="17">
        <v>10642</v>
      </c>
      <c r="J264" s="17">
        <v>88363</v>
      </c>
      <c r="K264" s="6">
        <v>2021</v>
      </c>
      <c r="L264" s="12">
        <f t="shared" si="4"/>
        <v>177949.25</v>
      </c>
    </row>
    <row r="265" spans="1:12" x14ac:dyDescent="0.3">
      <c r="A265" s="31">
        <v>113</v>
      </c>
      <c r="B265" s="33" t="s">
        <v>172</v>
      </c>
      <c r="C265" s="33" t="s">
        <v>90</v>
      </c>
      <c r="D265" s="17">
        <v>483380</v>
      </c>
      <c r="E265" s="7">
        <v>208086</v>
      </c>
      <c r="F265" s="17">
        <v>40293</v>
      </c>
      <c r="G265" s="17">
        <v>54</v>
      </c>
      <c r="H265" s="17">
        <v>53165</v>
      </c>
      <c r="I265" s="17">
        <v>33691</v>
      </c>
      <c r="J265" s="17">
        <v>77674</v>
      </c>
      <c r="K265" s="6">
        <v>2021</v>
      </c>
      <c r="L265" s="12">
        <f t="shared" si="4"/>
        <v>75386</v>
      </c>
    </row>
    <row r="266" spans="1:12" x14ac:dyDescent="0.3">
      <c r="A266" s="31">
        <v>114</v>
      </c>
      <c r="B266" s="33" t="s">
        <v>165</v>
      </c>
      <c r="C266" s="33" t="s">
        <v>39</v>
      </c>
      <c r="D266" s="17">
        <v>483040</v>
      </c>
      <c r="E266" s="7">
        <v>344236</v>
      </c>
      <c r="F266" s="17">
        <v>58036</v>
      </c>
      <c r="G266" s="17">
        <v>62</v>
      </c>
      <c r="H266" s="17">
        <v>98037</v>
      </c>
      <c r="I266" s="17">
        <v>38822</v>
      </c>
      <c r="J266" s="17">
        <v>88816</v>
      </c>
      <c r="K266" s="6">
        <v>2021</v>
      </c>
      <c r="L266" s="12">
        <f t="shared" si="4"/>
        <v>125077.25</v>
      </c>
    </row>
    <row r="267" spans="1:12" x14ac:dyDescent="0.3">
      <c r="A267" s="31">
        <v>115</v>
      </c>
      <c r="B267" s="33" t="s">
        <v>114</v>
      </c>
      <c r="C267" s="33" t="s">
        <v>90</v>
      </c>
      <c r="D267" s="17">
        <v>479450</v>
      </c>
      <c r="E267" s="7">
        <v>104394</v>
      </c>
      <c r="F267" s="17">
        <v>54046</v>
      </c>
      <c r="G267" s="17">
        <v>55</v>
      </c>
      <c r="H267" s="17">
        <v>84989</v>
      </c>
      <c r="I267" s="17">
        <v>42057</v>
      </c>
      <c r="J267" s="17">
        <v>70266</v>
      </c>
      <c r="K267" s="6">
        <v>2021</v>
      </c>
      <c r="L267" s="12">
        <f t="shared" si="4"/>
        <v>60857.25</v>
      </c>
    </row>
    <row r="268" spans="1:12" x14ac:dyDescent="0.3">
      <c r="A268" s="31">
        <v>116</v>
      </c>
      <c r="B268" s="33" t="s">
        <v>97</v>
      </c>
      <c r="C268" s="33" t="s">
        <v>90</v>
      </c>
      <c r="D268" s="17">
        <v>475930</v>
      </c>
      <c r="E268" s="7">
        <v>378638</v>
      </c>
      <c r="F268" s="17">
        <v>53327</v>
      </c>
      <c r="G268" s="17">
        <v>50</v>
      </c>
      <c r="H268" s="17">
        <v>60448</v>
      </c>
      <c r="I268" s="17">
        <v>39237</v>
      </c>
      <c r="J268" s="17">
        <v>92894</v>
      </c>
      <c r="K268" s="6">
        <v>2021</v>
      </c>
      <c r="L268" s="12">
        <f t="shared" si="4"/>
        <v>123103.25</v>
      </c>
    </row>
    <row r="269" spans="1:12" x14ac:dyDescent="0.3">
      <c r="A269" s="31">
        <v>117</v>
      </c>
      <c r="B269" s="33" t="s">
        <v>158</v>
      </c>
      <c r="C269" s="33" t="s">
        <v>90</v>
      </c>
      <c r="D269" s="17">
        <v>472350</v>
      </c>
      <c r="E269" s="7">
        <v>221162</v>
      </c>
      <c r="F269" s="17">
        <v>50325</v>
      </c>
      <c r="G269" s="17">
        <v>52</v>
      </c>
      <c r="H269" s="17">
        <v>53624</v>
      </c>
      <c r="I269" s="17">
        <v>30388</v>
      </c>
      <c r="J269" s="17">
        <v>86888</v>
      </c>
      <c r="K269" s="6">
        <v>2021</v>
      </c>
      <c r="L269" s="12">
        <f t="shared" si="4"/>
        <v>81277.75</v>
      </c>
    </row>
    <row r="270" spans="1:12" x14ac:dyDescent="0.3">
      <c r="A270" s="31">
        <v>118</v>
      </c>
      <c r="B270" s="33" t="s">
        <v>130</v>
      </c>
      <c r="C270" s="33" t="s">
        <v>24</v>
      </c>
      <c r="D270" s="17">
        <v>472120</v>
      </c>
      <c r="E270" s="7">
        <v>588487</v>
      </c>
      <c r="F270" s="17">
        <v>47556</v>
      </c>
      <c r="G270" s="17">
        <v>66</v>
      </c>
      <c r="H270" s="17">
        <v>38368</v>
      </c>
      <c r="I270" s="17">
        <v>61061</v>
      </c>
      <c r="J270" s="17">
        <v>73740</v>
      </c>
      <c r="K270" s="6">
        <v>2021</v>
      </c>
      <c r="L270" s="12">
        <f t="shared" si="4"/>
        <v>168602.75</v>
      </c>
    </row>
    <row r="271" spans="1:12" x14ac:dyDescent="0.3">
      <c r="A271" s="31">
        <v>119</v>
      </c>
      <c r="B271" s="33" t="s">
        <v>161</v>
      </c>
      <c r="C271" s="33" t="s">
        <v>90</v>
      </c>
      <c r="D271" s="17">
        <v>463650</v>
      </c>
      <c r="E271" s="7">
        <v>207955</v>
      </c>
      <c r="F271" s="17">
        <v>61212</v>
      </c>
      <c r="G271" s="17">
        <v>56</v>
      </c>
      <c r="H271" s="17">
        <v>55589</v>
      </c>
      <c r="I271" s="17">
        <v>49394</v>
      </c>
      <c r="J271" s="17">
        <v>90151</v>
      </c>
      <c r="K271" s="6">
        <v>2021</v>
      </c>
      <c r="L271" s="12">
        <f t="shared" si="4"/>
        <v>81189</v>
      </c>
    </row>
    <row r="272" spans="1:12" x14ac:dyDescent="0.3">
      <c r="A272" s="31">
        <v>120</v>
      </c>
      <c r="B272" s="33" t="s">
        <v>136</v>
      </c>
      <c r="C272" s="33" t="s">
        <v>90</v>
      </c>
      <c r="D272" s="17">
        <v>462520</v>
      </c>
      <c r="E272" s="7">
        <v>130184</v>
      </c>
      <c r="F272" s="17">
        <v>49489</v>
      </c>
      <c r="G272" s="17">
        <v>56</v>
      </c>
      <c r="H272" s="17">
        <v>60083</v>
      </c>
      <c r="I272" s="17">
        <v>40784</v>
      </c>
      <c r="J272" s="17">
        <v>89568</v>
      </c>
      <c r="K272" s="6">
        <v>2021</v>
      </c>
      <c r="L272" s="12">
        <f t="shared" si="4"/>
        <v>59939</v>
      </c>
    </row>
    <row r="273" spans="1:12" x14ac:dyDescent="0.3">
      <c r="A273" s="31">
        <v>121</v>
      </c>
      <c r="B273" s="33" t="s">
        <v>145</v>
      </c>
      <c r="C273" s="33" t="s">
        <v>90</v>
      </c>
      <c r="D273" s="17">
        <v>460660</v>
      </c>
      <c r="E273" s="7">
        <v>344317</v>
      </c>
      <c r="F273" s="17">
        <v>43331</v>
      </c>
      <c r="G273" s="17">
        <v>61</v>
      </c>
      <c r="H273" s="17">
        <v>67438</v>
      </c>
      <c r="I273" s="17">
        <v>69304</v>
      </c>
      <c r="J273" s="17">
        <v>86716</v>
      </c>
      <c r="K273" s="6">
        <v>2021</v>
      </c>
      <c r="L273" s="12">
        <f t="shared" si="4"/>
        <v>113771.5</v>
      </c>
    </row>
    <row r="274" spans="1:12" x14ac:dyDescent="0.3">
      <c r="A274" s="31">
        <v>122</v>
      </c>
      <c r="B274" s="33" t="s">
        <v>127</v>
      </c>
      <c r="C274" s="33" t="s">
        <v>24</v>
      </c>
      <c r="D274" s="17">
        <v>459650</v>
      </c>
      <c r="E274" s="7">
        <v>524916</v>
      </c>
      <c r="F274" s="17">
        <v>43891</v>
      </c>
      <c r="G274" s="17">
        <v>67</v>
      </c>
      <c r="H274" s="17">
        <v>46594</v>
      </c>
      <c r="I274" s="17">
        <v>10556</v>
      </c>
      <c r="J274" s="17">
        <v>91908</v>
      </c>
      <c r="K274" s="6">
        <v>2021</v>
      </c>
      <c r="L274" s="12">
        <f t="shared" si="4"/>
        <v>153850.25</v>
      </c>
    </row>
    <row r="275" spans="1:12" x14ac:dyDescent="0.3">
      <c r="A275" s="31">
        <v>123</v>
      </c>
      <c r="B275" s="33" t="s">
        <v>123</v>
      </c>
      <c r="C275" s="33" t="s">
        <v>24</v>
      </c>
      <c r="D275" s="17">
        <v>458380</v>
      </c>
      <c r="E275" s="7">
        <v>596729</v>
      </c>
      <c r="F275" s="17">
        <v>74031</v>
      </c>
      <c r="G275" s="17">
        <v>67</v>
      </c>
      <c r="H275" s="17">
        <v>24384</v>
      </c>
      <c r="I275" s="17">
        <v>25875</v>
      </c>
      <c r="J275" s="17">
        <v>95192</v>
      </c>
      <c r="K275" s="6">
        <v>2021</v>
      </c>
      <c r="L275" s="12">
        <f t="shared" si="4"/>
        <v>173786</v>
      </c>
    </row>
    <row r="276" spans="1:12" x14ac:dyDescent="0.3">
      <c r="A276" s="31">
        <v>124</v>
      </c>
      <c r="B276" s="33" t="s">
        <v>181</v>
      </c>
      <c r="C276" s="33" t="s">
        <v>90</v>
      </c>
      <c r="D276" s="17">
        <v>457410</v>
      </c>
      <c r="E276" s="7">
        <v>503915</v>
      </c>
      <c r="F276" s="17">
        <v>68320</v>
      </c>
      <c r="G276" s="17">
        <v>57</v>
      </c>
      <c r="H276" s="17">
        <v>57369</v>
      </c>
      <c r="I276" s="17">
        <v>16775</v>
      </c>
      <c r="J276" s="17">
        <v>89195</v>
      </c>
      <c r="K276" s="6">
        <v>2021</v>
      </c>
      <c r="L276" s="12">
        <f t="shared" si="4"/>
        <v>157401</v>
      </c>
    </row>
    <row r="277" spans="1:12" x14ac:dyDescent="0.3">
      <c r="A277" s="31">
        <v>125</v>
      </c>
      <c r="B277" s="33" t="s">
        <v>128</v>
      </c>
      <c r="C277" s="33" t="s">
        <v>24</v>
      </c>
      <c r="D277" s="17">
        <v>451670</v>
      </c>
      <c r="E277" s="7">
        <v>369013</v>
      </c>
      <c r="F277" s="17">
        <v>69828</v>
      </c>
      <c r="G277" s="17">
        <v>62</v>
      </c>
      <c r="H277" s="17">
        <v>46105</v>
      </c>
      <c r="I277" s="17">
        <v>15142</v>
      </c>
      <c r="J277" s="17">
        <v>86234</v>
      </c>
      <c r="K277" s="6">
        <v>2021</v>
      </c>
      <c r="L277" s="12">
        <f t="shared" si="4"/>
        <v>121236.5</v>
      </c>
    </row>
    <row r="278" spans="1:12" x14ac:dyDescent="0.3">
      <c r="A278" s="31">
        <v>126</v>
      </c>
      <c r="B278" s="33" t="s">
        <v>149</v>
      </c>
      <c r="C278" s="33" t="s">
        <v>39</v>
      </c>
      <c r="D278" s="17">
        <v>442580</v>
      </c>
      <c r="E278" s="7">
        <v>380272</v>
      </c>
      <c r="F278" s="17">
        <v>60797</v>
      </c>
      <c r="G278" s="17">
        <v>59</v>
      </c>
      <c r="H278" s="17">
        <v>83938</v>
      </c>
      <c r="I278" s="17">
        <v>96061</v>
      </c>
      <c r="J278" s="17">
        <v>67365</v>
      </c>
      <c r="K278" s="6">
        <v>2021</v>
      </c>
      <c r="L278" s="12">
        <f t="shared" si="4"/>
        <v>131251.75</v>
      </c>
    </row>
    <row r="279" spans="1:12" x14ac:dyDescent="0.3">
      <c r="A279" s="31">
        <v>127</v>
      </c>
      <c r="B279" s="33" t="s">
        <v>103</v>
      </c>
      <c r="C279" s="33" t="s">
        <v>24</v>
      </c>
      <c r="D279" s="17">
        <v>439460</v>
      </c>
      <c r="E279" s="7">
        <v>508214</v>
      </c>
      <c r="F279" s="17">
        <v>58467</v>
      </c>
      <c r="G279" s="17">
        <v>67</v>
      </c>
      <c r="H279" s="17">
        <v>63484</v>
      </c>
      <c r="I279" s="17">
        <v>14627</v>
      </c>
      <c r="J279" s="17">
        <v>72628</v>
      </c>
      <c r="K279" s="6">
        <v>2021</v>
      </c>
      <c r="L279" s="12">
        <f t="shared" si="4"/>
        <v>157541.25</v>
      </c>
    </row>
    <row r="280" spans="1:12" x14ac:dyDescent="0.3">
      <c r="A280" s="31">
        <v>128</v>
      </c>
      <c r="B280" s="33" t="s">
        <v>169</v>
      </c>
      <c r="C280" s="33" t="s">
        <v>90</v>
      </c>
      <c r="D280" s="17">
        <v>435540</v>
      </c>
      <c r="E280" s="7">
        <v>145411</v>
      </c>
      <c r="F280" s="17">
        <v>30116</v>
      </c>
      <c r="G280" s="17">
        <v>48</v>
      </c>
      <c r="H280" s="17">
        <v>33461</v>
      </c>
      <c r="I280" s="17">
        <v>39712</v>
      </c>
      <c r="J280" s="17">
        <v>84554</v>
      </c>
      <c r="K280" s="6">
        <v>2021</v>
      </c>
      <c r="L280" s="12">
        <f t="shared" si="4"/>
        <v>52247</v>
      </c>
    </row>
    <row r="281" spans="1:12" x14ac:dyDescent="0.3">
      <c r="A281" s="31">
        <v>129</v>
      </c>
      <c r="B281" s="33" t="s">
        <v>152</v>
      </c>
      <c r="C281" s="33" t="s">
        <v>99</v>
      </c>
      <c r="D281" s="17">
        <v>432500</v>
      </c>
      <c r="E281" s="7">
        <v>565743</v>
      </c>
      <c r="F281" s="17">
        <v>69937</v>
      </c>
      <c r="G281" s="17">
        <v>67</v>
      </c>
      <c r="H281" s="17">
        <v>78129</v>
      </c>
      <c r="I281" s="17">
        <v>44231</v>
      </c>
      <c r="J281" s="17">
        <v>91105</v>
      </c>
      <c r="K281" s="6">
        <v>2021</v>
      </c>
      <c r="L281" s="12">
        <f t="shared" si="4"/>
        <v>178452.25</v>
      </c>
    </row>
    <row r="282" spans="1:12" x14ac:dyDescent="0.3">
      <c r="A282" s="31">
        <v>130</v>
      </c>
      <c r="B282" s="33" t="s">
        <v>194</v>
      </c>
      <c r="C282" s="33" t="s">
        <v>90</v>
      </c>
      <c r="D282" s="17">
        <v>430810</v>
      </c>
      <c r="E282" s="7">
        <v>484883</v>
      </c>
      <c r="F282" s="17">
        <v>59133</v>
      </c>
      <c r="G282" s="17">
        <v>51</v>
      </c>
      <c r="H282" s="17">
        <v>45051</v>
      </c>
      <c r="I282" s="17">
        <v>12449</v>
      </c>
      <c r="J282" s="17">
        <v>73048</v>
      </c>
      <c r="K282" s="6">
        <v>2021</v>
      </c>
      <c r="L282" s="12">
        <f t="shared" si="4"/>
        <v>147266.75</v>
      </c>
    </row>
    <row r="283" spans="1:12" x14ac:dyDescent="0.3">
      <c r="A283" s="31">
        <v>131</v>
      </c>
      <c r="B283" s="33" t="s">
        <v>160</v>
      </c>
      <c r="C283" s="33" t="s">
        <v>90</v>
      </c>
      <c r="D283" s="17">
        <v>428860</v>
      </c>
      <c r="E283" s="7">
        <v>278460</v>
      </c>
      <c r="F283" s="17">
        <v>31338</v>
      </c>
      <c r="G283" s="17">
        <v>57</v>
      </c>
      <c r="H283" s="17">
        <v>28190</v>
      </c>
      <c r="I283" s="17">
        <v>44560</v>
      </c>
      <c r="J283" s="17">
        <v>81488</v>
      </c>
      <c r="K283" s="6">
        <v>2021</v>
      </c>
      <c r="L283" s="12">
        <f t="shared" si="4"/>
        <v>84497</v>
      </c>
    </row>
    <row r="284" spans="1:12" x14ac:dyDescent="0.3">
      <c r="A284" s="31">
        <v>132</v>
      </c>
      <c r="B284" s="33" t="s">
        <v>155</v>
      </c>
      <c r="C284" s="33" t="s">
        <v>24</v>
      </c>
      <c r="D284" s="17">
        <v>428270</v>
      </c>
      <c r="E284" s="7">
        <v>545037</v>
      </c>
      <c r="F284" s="17">
        <v>55191</v>
      </c>
      <c r="G284" s="17">
        <v>62</v>
      </c>
      <c r="H284" s="17">
        <v>62343</v>
      </c>
      <c r="I284" s="17">
        <v>12780</v>
      </c>
      <c r="J284" s="17">
        <v>83139</v>
      </c>
      <c r="K284" s="6">
        <v>2021</v>
      </c>
      <c r="L284" s="12">
        <f t="shared" si="4"/>
        <v>165642.75</v>
      </c>
    </row>
    <row r="285" spans="1:12" x14ac:dyDescent="0.3">
      <c r="A285" s="31">
        <v>133</v>
      </c>
      <c r="B285" s="33" t="s">
        <v>142</v>
      </c>
      <c r="C285" s="33" t="s">
        <v>90</v>
      </c>
      <c r="D285" s="17">
        <v>427470</v>
      </c>
      <c r="E285" s="7">
        <v>211179</v>
      </c>
      <c r="F285" s="17">
        <v>57905</v>
      </c>
      <c r="G285" s="17">
        <v>59</v>
      </c>
      <c r="H285" s="17">
        <v>62947</v>
      </c>
      <c r="I285" s="17">
        <v>44613</v>
      </c>
      <c r="J285" s="17">
        <v>79145</v>
      </c>
      <c r="K285" s="6">
        <v>2021</v>
      </c>
      <c r="L285" s="12">
        <f t="shared" si="4"/>
        <v>83007.75</v>
      </c>
    </row>
    <row r="286" spans="1:12" x14ac:dyDescent="0.3">
      <c r="A286" s="31">
        <v>134</v>
      </c>
      <c r="B286" s="33" t="s">
        <v>144</v>
      </c>
      <c r="C286" s="33" t="s">
        <v>24</v>
      </c>
      <c r="D286" s="17">
        <v>422740</v>
      </c>
      <c r="E286" s="7">
        <v>380442</v>
      </c>
      <c r="F286" s="17">
        <v>63873</v>
      </c>
      <c r="G286" s="17">
        <v>57</v>
      </c>
      <c r="H286" s="17">
        <v>30503</v>
      </c>
      <c r="I286" s="17">
        <v>21905</v>
      </c>
      <c r="J286" s="17">
        <v>75690</v>
      </c>
      <c r="K286" s="6">
        <v>2021</v>
      </c>
      <c r="L286" s="12">
        <f t="shared" si="4"/>
        <v>118704.5</v>
      </c>
    </row>
    <row r="287" spans="1:12" x14ac:dyDescent="0.3">
      <c r="A287" s="31">
        <v>135</v>
      </c>
      <c r="B287" s="33" t="s">
        <v>167</v>
      </c>
      <c r="C287" s="33" t="s">
        <v>90</v>
      </c>
      <c r="D287" s="17">
        <v>420850</v>
      </c>
      <c r="E287" s="7">
        <v>151864</v>
      </c>
      <c r="F287" s="17">
        <v>42883</v>
      </c>
      <c r="G287" s="17">
        <v>59</v>
      </c>
      <c r="H287" s="17">
        <v>28964</v>
      </c>
      <c r="I287" s="17">
        <v>34110</v>
      </c>
      <c r="J287" s="17">
        <v>84115</v>
      </c>
      <c r="K287" s="6">
        <v>2021</v>
      </c>
      <c r="L287" s="12">
        <f t="shared" si="4"/>
        <v>55927.75</v>
      </c>
    </row>
    <row r="288" spans="1:12" x14ac:dyDescent="0.3">
      <c r="A288" s="31">
        <v>136</v>
      </c>
      <c r="B288" s="33" t="s">
        <v>178</v>
      </c>
      <c r="C288" s="33" t="s">
        <v>90</v>
      </c>
      <c r="D288" s="17">
        <v>410680</v>
      </c>
      <c r="E288" s="7">
        <v>145093</v>
      </c>
      <c r="F288" s="17">
        <v>20430</v>
      </c>
      <c r="G288" s="17">
        <v>55</v>
      </c>
      <c r="H288" s="17">
        <v>40389</v>
      </c>
      <c r="I288" s="17">
        <v>38529</v>
      </c>
      <c r="J288" s="17">
        <v>80512</v>
      </c>
      <c r="K288" s="6">
        <v>2021</v>
      </c>
      <c r="L288" s="12">
        <f t="shared" si="4"/>
        <v>51478</v>
      </c>
    </row>
    <row r="289" spans="1:12" x14ac:dyDescent="0.3">
      <c r="A289" s="31">
        <v>137</v>
      </c>
      <c r="B289" s="33" t="s">
        <v>105</v>
      </c>
      <c r="C289" s="33" t="s">
        <v>90</v>
      </c>
      <c r="D289" s="17">
        <v>407340</v>
      </c>
      <c r="E289" s="7">
        <v>301348</v>
      </c>
      <c r="F289" s="17">
        <v>47069</v>
      </c>
      <c r="G289" s="17">
        <v>56</v>
      </c>
      <c r="H289" s="17">
        <v>68009</v>
      </c>
      <c r="I289" s="17">
        <v>42024</v>
      </c>
      <c r="J289" s="17">
        <v>86481</v>
      </c>
      <c r="K289" s="6">
        <v>2021</v>
      </c>
      <c r="L289" s="12">
        <f t="shared" si="4"/>
        <v>104106.5</v>
      </c>
    </row>
    <row r="290" spans="1:12" x14ac:dyDescent="0.3">
      <c r="A290" s="31">
        <v>138</v>
      </c>
      <c r="B290" s="33" t="s">
        <v>143</v>
      </c>
      <c r="C290" s="33" t="s">
        <v>90</v>
      </c>
      <c r="D290" s="17">
        <v>384940</v>
      </c>
      <c r="E290" s="7">
        <v>159352</v>
      </c>
      <c r="F290" s="17">
        <v>32170</v>
      </c>
      <c r="G290" s="17">
        <v>52</v>
      </c>
      <c r="H290" s="17">
        <v>57009</v>
      </c>
      <c r="I290" s="17">
        <v>44853</v>
      </c>
      <c r="J290" s="17">
        <v>91490</v>
      </c>
      <c r="K290" s="6">
        <v>2021</v>
      </c>
      <c r="L290" s="12">
        <f t="shared" si="4"/>
        <v>62132.75</v>
      </c>
    </row>
    <row r="291" spans="1:12" x14ac:dyDescent="0.3">
      <c r="A291" s="31">
        <v>139</v>
      </c>
      <c r="B291" s="33" t="s">
        <v>137</v>
      </c>
      <c r="C291" s="33" t="s">
        <v>99</v>
      </c>
      <c r="D291" s="17">
        <v>381890</v>
      </c>
      <c r="E291" s="7">
        <v>423021</v>
      </c>
      <c r="F291" s="17">
        <v>26976</v>
      </c>
      <c r="G291" s="17">
        <v>61</v>
      </c>
      <c r="H291" s="17">
        <v>86913</v>
      </c>
      <c r="I291" s="17">
        <v>45496</v>
      </c>
      <c r="J291" s="17">
        <v>80681</v>
      </c>
      <c r="K291" s="6">
        <v>2021</v>
      </c>
      <c r="L291" s="12">
        <f t="shared" si="4"/>
        <v>134227.5</v>
      </c>
    </row>
    <row r="292" spans="1:12" x14ac:dyDescent="0.3">
      <c r="A292" s="31">
        <v>140</v>
      </c>
      <c r="B292" s="33" t="s">
        <v>177</v>
      </c>
      <c r="C292" s="33" t="s">
        <v>90</v>
      </c>
      <c r="D292" s="17">
        <v>377530</v>
      </c>
      <c r="E292" s="7">
        <v>0</v>
      </c>
      <c r="F292" s="17">
        <v>5329</v>
      </c>
      <c r="G292" s="17">
        <v>53</v>
      </c>
      <c r="H292" s="17">
        <v>41572</v>
      </c>
      <c r="I292" s="17">
        <v>31852</v>
      </c>
      <c r="J292" s="17">
        <v>61230</v>
      </c>
      <c r="K292" s="6">
        <v>2021</v>
      </c>
      <c r="L292" s="12">
        <f t="shared" si="4"/>
        <v>11725.25</v>
      </c>
    </row>
    <row r="293" spans="1:12" x14ac:dyDescent="0.3">
      <c r="A293" s="31">
        <v>141</v>
      </c>
      <c r="B293" s="33" t="s">
        <v>156</v>
      </c>
      <c r="C293" s="33" t="s">
        <v>24</v>
      </c>
      <c r="D293" s="17">
        <v>365790</v>
      </c>
      <c r="E293" s="7">
        <v>188200</v>
      </c>
      <c r="F293" s="17">
        <v>70904</v>
      </c>
      <c r="G293" s="17">
        <v>57</v>
      </c>
      <c r="H293" s="17">
        <v>37460</v>
      </c>
      <c r="I293" s="17">
        <v>17047</v>
      </c>
      <c r="J293" s="17">
        <v>83781</v>
      </c>
      <c r="K293" s="6">
        <v>2021</v>
      </c>
      <c r="L293" s="12">
        <f t="shared" si="4"/>
        <v>74141</v>
      </c>
    </row>
    <row r="294" spans="1:12" x14ac:dyDescent="0.3">
      <c r="A294" s="31">
        <v>142</v>
      </c>
      <c r="B294" s="33" t="s">
        <v>166</v>
      </c>
      <c r="C294" s="33" t="s">
        <v>90</v>
      </c>
      <c r="D294" s="17">
        <v>362320</v>
      </c>
      <c r="E294" s="7">
        <v>247494</v>
      </c>
      <c r="F294" s="17">
        <v>46023</v>
      </c>
      <c r="G294" s="17">
        <v>58</v>
      </c>
      <c r="H294" s="17">
        <v>76717</v>
      </c>
      <c r="I294" s="17">
        <v>56804</v>
      </c>
      <c r="J294" s="17">
        <v>57737</v>
      </c>
      <c r="K294" s="6">
        <v>2021</v>
      </c>
      <c r="L294" s="12">
        <f t="shared" si="4"/>
        <v>92558.5</v>
      </c>
    </row>
    <row r="295" spans="1:12" x14ac:dyDescent="0.3">
      <c r="A295" s="31">
        <v>143</v>
      </c>
      <c r="B295" s="33" t="s">
        <v>139</v>
      </c>
      <c r="C295" s="33" t="s">
        <v>26</v>
      </c>
      <c r="D295" s="17">
        <v>361490</v>
      </c>
      <c r="E295" s="7">
        <v>167985</v>
      </c>
      <c r="F295" s="17">
        <v>14780</v>
      </c>
      <c r="G295" s="17">
        <v>56</v>
      </c>
      <c r="H295" s="17">
        <v>35964</v>
      </c>
      <c r="I295" s="17">
        <v>85533</v>
      </c>
      <c r="J295" s="17">
        <v>74540</v>
      </c>
      <c r="K295" s="6">
        <v>2021</v>
      </c>
      <c r="L295" s="12">
        <f t="shared" si="4"/>
        <v>54682.25</v>
      </c>
    </row>
    <row r="296" spans="1:12" x14ac:dyDescent="0.3">
      <c r="A296" s="31">
        <v>144</v>
      </c>
      <c r="B296" s="33" t="s">
        <v>151</v>
      </c>
      <c r="C296" s="33" t="s">
        <v>90</v>
      </c>
      <c r="D296" s="17">
        <v>360000</v>
      </c>
      <c r="E296" s="7">
        <v>64296</v>
      </c>
      <c r="F296" s="17">
        <v>14298</v>
      </c>
      <c r="G296" s="17">
        <v>58</v>
      </c>
      <c r="H296" s="17">
        <v>67635</v>
      </c>
      <c r="I296" s="17">
        <v>39358</v>
      </c>
      <c r="J296" s="17">
        <v>75475</v>
      </c>
      <c r="K296" s="6">
        <v>2021</v>
      </c>
      <c r="L296" s="12">
        <f t="shared" si="4"/>
        <v>36557.25</v>
      </c>
    </row>
    <row r="297" spans="1:12" x14ac:dyDescent="0.3">
      <c r="A297" s="31">
        <v>145</v>
      </c>
      <c r="B297" s="33" t="s">
        <v>117</v>
      </c>
      <c r="C297" s="33" t="s">
        <v>90</v>
      </c>
      <c r="D297" s="17">
        <v>351180</v>
      </c>
      <c r="E297" s="7">
        <v>257512</v>
      </c>
      <c r="F297" s="17">
        <v>62320</v>
      </c>
      <c r="G297" s="17">
        <v>49</v>
      </c>
      <c r="H297" s="17">
        <v>56631</v>
      </c>
      <c r="I297" s="17">
        <v>18997</v>
      </c>
      <c r="J297" s="17">
        <v>97205</v>
      </c>
      <c r="K297" s="6">
        <v>2021</v>
      </c>
      <c r="L297" s="12">
        <f t="shared" si="4"/>
        <v>94115.75</v>
      </c>
    </row>
    <row r="298" spans="1:12" x14ac:dyDescent="0.3">
      <c r="A298" s="31">
        <v>146</v>
      </c>
      <c r="B298" s="33" t="s">
        <v>148</v>
      </c>
      <c r="C298" s="33" t="s">
        <v>90</v>
      </c>
      <c r="D298" s="17">
        <v>346650</v>
      </c>
      <c r="E298" s="7">
        <v>627831</v>
      </c>
      <c r="F298" s="17">
        <v>61801</v>
      </c>
      <c r="G298" s="17">
        <v>59</v>
      </c>
      <c r="H298" s="17">
        <v>75231</v>
      </c>
      <c r="I298" s="17">
        <v>5061</v>
      </c>
      <c r="J298" s="17">
        <v>83820</v>
      </c>
      <c r="K298" s="6">
        <v>2021</v>
      </c>
      <c r="L298" s="12">
        <f t="shared" si="4"/>
        <v>191215.75</v>
      </c>
    </row>
    <row r="299" spans="1:12" x14ac:dyDescent="0.3">
      <c r="A299" s="31">
        <v>147</v>
      </c>
      <c r="B299" s="33" t="s">
        <v>174</v>
      </c>
      <c r="C299" s="33" t="s">
        <v>90</v>
      </c>
      <c r="D299" s="17">
        <v>341470</v>
      </c>
      <c r="E299" s="7">
        <v>207692</v>
      </c>
      <c r="F299" s="17">
        <v>17247</v>
      </c>
      <c r="G299" s="17">
        <v>61</v>
      </c>
      <c r="H299" s="17">
        <v>87530</v>
      </c>
      <c r="I299" s="17">
        <v>42024</v>
      </c>
      <c r="J299" s="17">
        <v>9895</v>
      </c>
      <c r="K299" s="6">
        <v>2021</v>
      </c>
      <c r="L299" s="12">
        <f t="shared" si="4"/>
        <v>78117.25</v>
      </c>
    </row>
    <row r="300" spans="1:12" x14ac:dyDescent="0.3">
      <c r="A300" s="31">
        <v>148</v>
      </c>
      <c r="B300" s="33" t="s">
        <v>135</v>
      </c>
      <c r="C300" s="33" t="s">
        <v>90</v>
      </c>
      <c r="D300" s="17">
        <v>314480</v>
      </c>
      <c r="E300" s="7">
        <v>260868</v>
      </c>
      <c r="F300" s="17">
        <v>55324</v>
      </c>
      <c r="G300" s="17">
        <v>56</v>
      </c>
      <c r="H300" s="17">
        <v>50129</v>
      </c>
      <c r="I300" s="17">
        <v>29023</v>
      </c>
      <c r="J300" s="17">
        <v>86197</v>
      </c>
      <c r="K300" s="6">
        <v>2021</v>
      </c>
      <c r="L300" s="12">
        <f t="shared" si="4"/>
        <v>91580.25</v>
      </c>
    </row>
    <row r="301" spans="1:12" x14ac:dyDescent="0.3">
      <c r="A301" s="31">
        <v>149</v>
      </c>
      <c r="B301" s="33" t="s">
        <v>173</v>
      </c>
      <c r="C301" s="33" t="s">
        <v>99</v>
      </c>
      <c r="D301" s="17">
        <v>252290</v>
      </c>
      <c r="E301" s="7">
        <v>211402</v>
      </c>
      <c r="F301" s="17">
        <v>0</v>
      </c>
      <c r="G301" s="17">
        <v>52</v>
      </c>
      <c r="H301" s="17">
        <v>0</v>
      </c>
      <c r="I301" s="17">
        <v>22474</v>
      </c>
      <c r="J301" s="17">
        <v>98250</v>
      </c>
      <c r="K301" s="6">
        <v>2021</v>
      </c>
      <c r="L301" s="12">
        <f t="shared" si="4"/>
        <v>52850.5</v>
      </c>
    </row>
    <row r="302" spans="1:12" x14ac:dyDescent="0.3">
      <c r="A302" s="31">
        <v>1</v>
      </c>
      <c r="B302" s="33" t="s">
        <v>18</v>
      </c>
      <c r="C302" s="33" t="s">
        <v>12</v>
      </c>
      <c r="D302" s="17">
        <v>782100</v>
      </c>
      <c r="E302" s="7">
        <v>856175</v>
      </c>
      <c r="F302" s="17">
        <v>95317</v>
      </c>
      <c r="G302" s="17">
        <v>80</v>
      </c>
      <c r="H302" s="17">
        <v>99399</v>
      </c>
      <c r="I302" s="17">
        <v>23237</v>
      </c>
      <c r="J302" s="17">
        <v>90939</v>
      </c>
      <c r="K302" s="6">
        <v>2022</v>
      </c>
      <c r="L302" s="12">
        <f t="shared" si="4"/>
        <v>262722.75</v>
      </c>
    </row>
    <row r="303" spans="1:12" x14ac:dyDescent="0.3">
      <c r="A303" s="31">
        <v>2</v>
      </c>
      <c r="B303" s="33" t="s">
        <v>14</v>
      </c>
      <c r="C303" s="33" t="s">
        <v>12</v>
      </c>
      <c r="D303" s="17">
        <v>763620</v>
      </c>
      <c r="E303" s="7">
        <v>883769</v>
      </c>
      <c r="F303" s="17">
        <v>94149</v>
      </c>
      <c r="G303" s="17">
        <v>80</v>
      </c>
      <c r="H303" s="17">
        <v>97146</v>
      </c>
      <c r="I303" s="17">
        <v>40097</v>
      </c>
      <c r="J303" s="17">
        <v>90670</v>
      </c>
      <c r="K303" s="6">
        <v>2022</v>
      </c>
      <c r="L303" s="12">
        <f t="shared" si="4"/>
        <v>268766</v>
      </c>
    </row>
    <row r="304" spans="1:12" x14ac:dyDescent="0.3">
      <c r="A304" s="31">
        <v>3</v>
      </c>
      <c r="B304" s="33" t="s">
        <v>13</v>
      </c>
      <c r="C304" s="33" t="s">
        <v>12</v>
      </c>
      <c r="D304" s="17">
        <v>755750</v>
      </c>
      <c r="E304" s="7">
        <v>876134</v>
      </c>
      <c r="F304" s="17">
        <v>100000</v>
      </c>
      <c r="G304" s="17">
        <v>80</v>
      </c>
      <c r="H304" s="17">
        <v>97048</v>
      </c>
      <c r="I304" s="17">
        <v>57619</v>
      </c>
      <c r="J304" s="17">
        <v>32583</v>
      </c>
      <c r="K304" s="6">
        <v>2022</v>
      </c>
      <c r="L304" s="12">
        <f t="shared" si="4"/>
        <v>268295.5</v>
      </c>
    </row>
    <row r="305" spans="1:12" x14ac:dyDescent="0.3">
      <c r="A305" s="31">
        <v>4</v>
      </c>
      <c r="B305" s="33" t="s">
        <v>11</v>
      </c>
      <c r="C305" s="33" t="s">
        <v>12</v>
      </c>
      <c r="D305" s="17">
        <v>751160</v>
      </c>
      <c r="E305" s="7">
        <v>916979</v>
      </c>
      <c r="F305" s="17">
        <v>92890</v>
      </c>
      <c r="G305" s="17">
        <v>81</v>
      </c>
      <c r="H305" s="17">
        <v>91475</v>
      </c>
      <c r="I305" s="17">
        <v>31377</v>
      </c>
      <c r="J305" s="17">
        <v>78559</v>
      </c>
      <c r="K305" s="6">
        <v>2022</v>
      </c>
      <c r="L305" s="12">
        <f t="shared" si="4"/>
        <v>275336</v>
      </c>
    </row>
    <row r="306" spans="1:12" x14ac:dyDescent="0.3">
      <c r="A306" s="31">
        <v>5</v>
      </c>
      <c r="B306" s="33" t="s">
        <v>19</v>
      </c>
      <c r="C306" s="33" t="s">
        <v>12</v>
      </c>
      <c r="D306" s="17">
        <v>741490</v>
      </c>
      <c r="E306" s="7">
        <v>880140</v>
      </c>
      <c r="F306" s="17">
        <v>91358</v>
      </c>
      <c r="G306" s="17">
        <v>80</v>
      </c>
      <c r="H306" s="17">
        <v>87925</v>
      </c>
      <c r="I306" s="17">
        <v>57932</v>
      </c>
      <c r="J306" s="17">
        <v>71415</v>
      </c>
      <c r="K306" s="6">
        <v>2022</v>
      </c>
      <c r="L306" s="12">
        <f t="shared" si="4"/>
        <v>264855.75</v>
      </c>
    </row>
    <row r="307" spans="1:12" x14ac:dyDescent="0.3">
      <c r="A307" s="31">
        <v>6</v>
      </c>
      <c r="B307" s="33" t="s">
        <v>31</v>
      </c>
      <c r="C307" s="33" t="s">
        <v>12</v>
      </c>
      <c r="D307" s="17">
        <v>740400</v>
      </c>
      <c r="E307" s="7">
        <v>1000000</v>
      </c>
      <c r="F307" s="17">
        <v>87470</v>
      </c>
      <c r="G307" s="17">
        <v>80</v>
      </c>
      <c r="H307" s="17">
        <v>94553</v>
      </c>
      <c r="I307" s="17">
        <v>25688</v>
      </c>
      <c r="J307" s="17">
        <v>66139</v>
      </c>
      <c r="K307" s="6">
        <v>2022</v>
      </c>
      <c r="L307" s="12">
        <f t="shared" si="4"/>
        <v>295505.75</v>
      </c>
    </row>
    <row r="308" spans="1:12" x14ac:dyDescent="0.3">
      <c r="A308" s="31">
        <v>7</v>
      </c>
      <c r="B308" s="33" t="s">
        <v>20</v>
      </c>
      <c r="C308" s="33" t="s">
        <v>12</v>
      </c>
      <c r="D308" s="17">
        <v>738430</v>
      </c>
      <c r="E308" s="7">
        <v>869133</v>
      </c>
      <c r="F308" s="17">
        <v>91221</v>
      </c>
      <c r="G308" s="17">
        <v>80</v>
      </c>
      <c r="H308" s="17">
        <v>97793</v>
      </c>
      <c r="I308" s="17">
        <v>46574</v>
      </c>
      <c r="J308" s="17">
        <v>87289</v>
      </c>
      <c r="K308" s="6">
        <v>2022</v>
      </c>
      <c r="L308" s="12">
        <f t="shared" si="4"/>
        <v>264536.75</v>
      </c>
    </row>
    <row r="309" spans="1:12" x14ac:dyDescent="0.3">
      <c r="A309" s="31">
        <v>8</v>
      </c>
      <c r="B309" s="33" t="s">
        <v>15</v>
      </c>
      <c r="C309" s="33" t="s">
        <v>12</v>
      </c>
      <c r="D309" s="17">
        <v>736510</v>
      </c>
      <c r="E309" s="7">
        <v>903954</v>
      </c>
      <c r="F309" s="17">
        <v>93873</v>
      </c>
      <c r="G309" s="17">
        <v>80</v>
      </c>
      <c r="H309" s="17">
        <v>98326</v>
      </c>
      <c r="I309" s="17">
        <v>46298</v>
      </c>
      <c r="J309" s="17">
        <v>80773</v>
      </c>
      <c r="K309" s="6">
        <v>2022</v>
      </c>
      <c r="L309" s="12">
        <f t="shared" si="4"/>
        <v>274038.25</v>
      </c>
    </row>
    <row r="310" spans="1:12" x14ac:dyDescent="0.3">
      <c r="A310" s="31">
        <v>9</v>
      </c>
      <c r="B310" s="33" t="s">
        <v>23</v>
      </c>
      <c r="C310" s="33" t="s">
        <v>24</v>
      </c>
      <c r="D310" s="17">
        <v>736380</v>
      </c>
      <c r="E310" s="7">
        <v>826439</v>
      </c>
      <c r="F310" s="17">
        <v>92506</v>
      </c>
      <c r="G310" s="17">
        <v>81</v>
      </c>
      <c r="H310" s="17">
        <v>76704</v>
      </c>
      <c r="I310" s="17">
        <v>33090</v>
      </c>
      <c r="J310" s="17">
        <v>24303</v>
      </c>
      <c r="K310" s="6">
        <v>2022</v>
      </c>
      <c r="L310" s="12">
        <f t="shared" si="4"/>
        <v>248912.25</v>
      </c>
    </row>
    <row r="311" spans="1:12" x14ac:dyDescent="0.3">
      <c r="A311" s="31">
        <v>10</v>
      </c>
      <c r="B311" s="33" t="s">
        <v>21</v>
      </c>
      <c r="C311" s="33" t="s">
        <v>17</v>
      </c>
      <c r="D311" s="17">
        <v>719980</v>
      </c>
      <c r="E311" s="7">
        <v>838257</v>
      </c>
      <c r="F311" s="17">
        <v>93539</v>
      </c>
      <c r="G311" s="17">
        <v>79</v>
      </c>
      <c r="H311" s="17">
        <v>91854</v>
      </c>
      <c r="I311" s="17">
        <v>52286</v>
      </c>
      <c r="J311" s="17">
        <v>82307</v>
      </c>
      <c r="K311" s="6">
        <v>2022</v>
      </c>
      <c r="L311" s="12">
        <f t="shared" si="4"/>
        <v>255912.5</v>
      </c>
    </row>
    <row r="312" spans="1:12" x14ac:dyDescent="0.3">
      <c r="A312" s="31">
        <v>11</v>
      </c>
      <c r="B312" s="33" t="s">
        <v>27</v>
      </c>
      <c r="C312" s="33" t="s">
        <v>12</v>
      </c>
      <c r="D312" s="17">
        <v>716300</v>
      </c>
      <c r="E312" s="7">
        <v>874141</v>
      </c>
      <c r="F312" s="17">
        <v>88283</v>
      </c>
      <c r="G312" s="17">
        <v>80</v>
      </c>
      <c r="H312" s="17">
        <v>84156</v>
      </c>
      <c r="I312" s="17">
        <v>41306</v>
      </c>
      <c r="J312" s="17">
        <v>56086</v>
      </c>
      <c r="K312" s="6">
        <v>2022</v>
      </c>
      <c r="L312" s="12">
        <f t="shared" si="4"/>
        <v>261645</v>
      </c>
    </row>
    <row r="313" spans="1:12" x14ac:dyDescent="0.3">
      <c r="A313" s="31">
        <v>12</v>
      </c>
      <c r="B313" s="33" t="s">
        <v>22</v>
      </c>
      <c r="C313" s="33" t="s">
        <v>17</v>
      </c>
      <c r="D313" s="17">
        <v>716210</v>
      </c>
      <c r="E313" s="7">
        <v>859913</v>
      </c>
      <c r="F313" s="17">
        <v>91171</v>
      </c>
      <c r="G313" s="17">
        <v>80</v>
      </c>
      <c r="H313" s="17">
        <v>91414</v>
      </c>
      <c r="I313" s="17">
        <v>55053</v>
      </c>
      <c r="J313" s="17">
        <v>58117</v>
      </c>
      <c r="K313" s="6">
        <v>2022</v>
      </c>
      <c r="L313" s="12">
        <f t="shared" si="4"/>
        <v>260624.5</v>
      </c>
    </row>
    <row r="314" spans="1:12" x14ac:dyDescent="0.3">
      <c r="A314" s="31">
        <v>13</v>
      </c>
      <c r="B314" s="33" t="s">
        <v>32</v>
      </c>
      <c r="C314" s="33" t="s">
        <v>12</v>
      </c>
      <c r="D314" s="17">
        <v>704080</v>
      </c>
      <c r="E314" s="7">
        <v>963627</v>
      </c>
      <c r="F314" s="17">
        <v>88309</v>
      </c>
      <c r="G314" s="17">
        <v>80</v>
      </c>
      <c r="H314" s="17">
        <v>84692</v>
      </c>
      <c r="I314" s="17">
        <v>40537</v>
      </c>
      <c r="J314" s="17">
        <v>69472</v>
      </c>
      <c r="K314" s="6">
        <v>2022</v>
      </c>
      <c r="L314" s="12">
        <f t="shared" si="4"/>
        <v>284157</v>
      </c>
    </row>
    <row r="315" spans="1:12" x14ac:dyDescent="0.3">
      <c r="A315" s="31">
        <v>14</v>
      </c>
      <c r="B315" s="33" t="s">
        <v>41</v>
      </c>
      <c r="C315" s="33" t="s">
        <v>12</v>
      </c>
      <c r="D315" s="17">
        <v>703410</v>
      </c>
      <c r="E315" s="7">
        <v>870708</v>
      </c>
      <c r="F315" s="17">
        <v>82395</v>
      </c>
      <c r="G315" s="17">
        <v>80</v>
      </c>
      <c r="H315" s="17">
        <v>79064</v>
      </c>
      <c r="I315" s="17">
        <v>34739</v>
      </c>
      <c r="J315" s="17">
        <v>60939</v>
      </c>
      <c r="K315" s="6">
        <v>2022</v>
      </c>
      <c r="L315" s="12">
        <f t="shared" si="4"/>
        <v>258041.75</v>
      </c>
    </row>
    <row r="316" spans="1:12" x14ac:dyDescent="0.3">
      <c r="A316" s="31">
        <v>15</v>
      </c>
      <c r="B316" s="33" t="s">
        <v>16</v>
      </c>
      <c r="C316" s="33" t="s">
        <v>17</v>
      </c>
      <c r="D316" s="17">
        <v>702510</v>
      </c>
      <c r="E316" s="7">
        <v>853832</v>
      </c>
      <c r="F316" s="17">
        <v>89988</v>
      </c>
      <c r="G316" s="17">
        <v>80</v>
      </c>
      <c r="H316" s="17">
        <v>89034</v>
      </c>
      <c r="I316" s="17">
        <v>46367</v>
      </c>
      <c r="J316" s="17">
        <v>62745</v>
      </c>
      <c r="K316" s="6">
        <v>2022</v>
      </c>
      <c r="L316" s="12">
        <f t="shared" si="4"/>
        <v>258213.5</v>
      </c>
    </row>
    <row r="317" spans="1:12" x14ac:dyDescent="0.3">
      <c r="A317" s="31">
        <v>16</v>
      </c>
      <c r="B317" s="33" t="s">
        <v>29</v>
      </c>
      <c r="C317" s="33" t="s">
        <v>17</v>
      </c>
      <c r="D317" s="17">
        <v>697680</v>
      </c>
      <c r="E317" s="7">
        <v>897234</v>
      </c>
      <c r="F317" s="17">
        <v>89524</v>
      </c>
      <c r="G317" s="17">
        <v>75</v>
      </c>
      <c r="H317" s="17">
        <v>77600</v>
      </c>
      <c r="I317" s="17">
        <v>47025</v>
      </c>
      <c r="J317" s="17">
        <v>30113</v>
      </c>
      <c r="K317" s="6">
        <v>2022</v>
      </c>
      <c r="L317" s="12">
        <f t="shared" si="4"/>
        <v>266089.5</v>
      </c>
    </row>
    <row r="318" spans="1:12" x14ac:dyDescent="0.3">
      <c r="A318" s="31">
        <v>17</v>
      </c>
      <c r="B318" s="33" t="s">
        <v>35</v>
      </c>
      <c r="C318" s="33" t="s">
        <v>12</v>
      </c>
      <c r="D318" s="17">
        <v>694250</v>
      </c>
      <c r="E318" s="7">
        <v>845109</v>
      </c>
      <c r="F318" s="17">
        <v>86604</v>
      </c>
      <c r="G318" s="17">
        <v>79</v>
      </c>
      <c r="H318" s="17">
        <v>80610</v>
      </c>
      <c r="I318" s="17">
        <v>61778</v>
      </c>
      <c r="J318" s="17">
        <v>56096</v>
      </c>
      <c r="K318" s="6">
        <v>2022</v>
      </c>
      <c r="L318" s="12">
        <f t="shared" si="4"/>
        <v>253080.75</v>
      </c>
    </row>
    <row r="319" spans="1:12" x14ac:dyDescent="0.3">
      <c r="A319" s="31">
        <v>18</v>
      </c>
      <c r="B319" s="33" t="s">
        <v>193</v>
      </c>
      <c r="C319" s="33" t="s">
        <v>47</v>
      </c>
      <c r="D319" s="17">
        <v>691980</v>
      </c>
      <c r="E319" s="7">
        <v>821499</v>
      </c>
      <c r="F319" s="17">
        <v>95467</v>
      </c>
      <c r="G319" s="17">
        <v>78</v>
      </c>
      <c r="H319" s="17">
        <v>89237</v>
      </c>
      <c r="I319" s="17">
        <v>33864</v>
      </c>
      <c r="J319" s="17">
        <v>8215</v>
      </c>
      <c r="K319" s="6">
        <v>2022</v>
      </c>
      <c r="L319" s="12">
        <f t="shared" si="4"/>
        <v>251550.75</v>
      </c>
    </row>
    <row r="320" spans="1:12" x14ac:dyDescent="0.3">
      <c r="A320" s="31">
        <v>19</v>
      </c>
      <c r="B320" s="33" t="s">
        <v>33</v>
      </c>
      <c r="C320" s="33" t="s">
        <v>12</v>
      </c>
      <c r="D320" s="17">
        <v>680500</v>
      </c>
      <c r="E320" s="7">
        <v>863249</v>
      </c>
      <c r="F320" s="17">
        <v>83805</v>
      </c>
      <c r="G320" s="17">
        <v>79</v>
      </c>
      <c r="H320" s="17">
        <v>66475</v>
      </c>
      <c r="I320" s="17">
        <v>10548</v>
      </c>
      <c r="J320" s="17">
        <v>34685</v>
      </c>
      <c r="K320" s="6">
        <v>2022</v>
      </c>
      <c r="L320" s="12">
        <f t="shared" si="4"/>
        <v>253382.25</v>
      </c>
    </row>
    <row r="321" spans="1:12" x14ac:dyDescent="0.3">
      <c r="A321" s="31">
        <v>20</v>
      </c>
      <c r="B321" s="33" t="s">
        <v>44</v>
      </c>
      <c r="C321" s="33" t="s">
        <v>12</v>
      </c>
      <c r="D321" s="17">
        <v>668670</v>
      </c>
      <c r="E321" s="7">
        <v>843077</v>
      </c>
      <c r="F321" s="17">
        <v>92324</v>
      </c>
      <c r="G321" s="17">
        <v>81</v>
      </c>
      <c r="H321" s="17">
        <v>76644</v>
      </c>
      <c r="I321" s="17">
        <v>14938</v>
      </c>
      <c r="J321" s="17">
        <v>45266</v>
      </c>
      <c r="K321" s="6">
        <v>2022</v>
      </c>
      <c r="L321" s="12">
        <f t="shared" si="4"/>
        <v>253011.25</v>
      </c>
    </row>
    <row r="322" spans="1:12" x14ac:dyDescent="0.3">
      <c r="A322" s="31">
        <v>21</v>
      </c>
      <c r="B322" s="33" t="s">
        <v>67</v>
      </c>
      <c r="C322" s="33" t="s">
        <v>24</v>
      </c>
      <c r="D322" s="17">
        <v>664690</v>
      </c>
      <c r="E322" s="7">
        <v>839134</v>
      </c>
      <c r="F322" s="17">
        <v>77954</v>
      </c>
      <c r="G322" s="17">
        <v>75</v>
      </c>
      <c r="H322" s="17">
        <v>93632</v>
      </c>
      <c r="I322" s="17">
        <v>42584</v>
      </c>
      <c r="J322" s="17">
        <v>26344</v>
      </c>
      <c r="K322" s="6">
        <v>2022</v>
      </c>
      <c r="L322" s="12">
        <f t="shared" si="4"/>
        <v>252680</v>
      </c>
    </row>
    <row r="323" spans="1:12" x14ac:dyDescent="0.3">
      <c r="A323" s="31">
        <v>22</v>
      </c>
      <c r="B323" s="33" t="s">
        <v>73</v>
      </c>
      <c r="C323" s="33" t="s">
        <v>47</v>
      </c>
      <c r="D323" s="17">
        <v>663010</v>
      </c>
      <c r="E323" s="7">
        <v>819057</v>
      </c>
      <c r="F323" s="17">
        <v>94632</v>
      </c>
      <c r="G323" s="17">
        <v>79</v>
      </c>
      <c r="H323" s="17">
        <v>92499</v>
      </c>
      <c r="I323" s="17">
        <v>25178</v>
      </c>
      <c r="J323" s="17">
        <v>19555</v>
      </c>
      <c r="K323" s="6">
        <v>2022</v>
      </c>
      <c r="L323" s="12">
        <f t="shared" ref="L323:L386" si="5">AVERAGE(E323,F323,H323,)</f>
        <v>251547</v>
      </c>
    </row>
    <row r="324" spans="1:12" x14ac:dyDescent="0.3">
      <c r="A324" s="31">
        <v>23</v>
      </c>
      <c r="B324" s="33" t="s">
        <v>25</v>
      </c>
      <c r="C324" s="33" t="s">
        <v>26</v>
      </c>
      <c r="D324" s="17">
        <v>658200</v>
      </c>
      <c r="E324" s="7">
        <v>717062</v>
      </c>
      <c r="F324" s="17">
        <v>79887</v>
      </c>
      <c r="G324" s="17">
        <v>79</v>
      </c>
      <c r="H324" s="17">
        <v>89372</v>
      </c>
      <c r="I324" s="17">
        <v>19015</v>
      </c>
      <c r="J324" s="17">
        <v>17451</v>
      </c>
      <c r="K324" s="6">
        <v>2022</v>
      </c>
      <c r="L324" s="12">
        <f t="shared" si="5"/>
        <v>221580.25</v>
      </c>
    </row>
    <row r="325" spans="1:12" x14ac:dyDescent="0.3">
      <c r="A325" s="31">
        <v>24</v>
      </c>
      <c r="B325" s="33" t="s">
        <v>34</v>
      </c>
      <c r="C325" s="33" t="s">
        <v>24</v>
      </c>
      <c r="D325" s="17">
        <v>657600</v>
      </c>
      <c r="E325" s="7">
        <v>904366</v>
      </c>
      <c r="F325" s="17">
        <v>74215</v>
      </c>
      <c r="G325" s="17">
        <v>75</v>
      </c>
      <c r="H325" s="17">
        <v>94864</v>
      </c>
      <c r="I325" s="17">
        <v>43534</v>
      </c>
      <c r="J325" s="17">
        <v>42677</v>
      </c>
      <c r="K325" s="6">
        <v>2022</v>
      </c>
      <c r="L325" s="12">
        <f t="shared" si="5"/>
        <v>268361.25</v>
      </c>
    </row>
    <row r="326" spans="1:12" x14ac:dyDescent="0.3">
      <c r="A326" s="31">
        <v>25</v>
      </c>
      <c r="B326" s="33" t="s">
        <v>51</v>
      </c>
      <c r="C326" s="33" t="s">
        <v>24</v>
      </c>
      <c r="D326" s="17">
        <v>652280</v>
      </c>
      <c r="E326" s="7">
        <v>846181</v>
      </c>
      <c r="F326" s="17">
        <v>82739</v>
      </c>
      <c r="G326" s="17">
        <v>74</v>
      </c>
      <c r="H326" s="17">
        <v>87940</v>
      </c>
      <c r="I326" s="17">
        <v>16759</v>
      </c>
      <c r="J326" s="17">
        <v>30737</v>
      </c>
      <c r="K326" s="6">
        <v>2022</v>
      </c>
      <c r="L326" s="12">
        <f t="shared" si="5"/>
        <v>254215</v>
      </c>
    </row>
    <row r="327" spans="1:12" x14ac:dyDescent="0.3">
      <c r="A327" s="31">
        <v>26</v>
      </c>
      <c r="B327" s="33" t="s">
        <v>184</v>
      </c>
      <c r="C327" s="33" t="s">
        <v>55</v>
      </c>
      <c r="D327" s="17">
        <v>651250</v>
      </c>
      <c r="E327" s="7">
        <v>858555</v>
      </c>
      <c r="F327" s="17">
        <v>82975</v>
      </c>
      <c r="G327" s="17">
        <v>78</v>
      </c>
      <c r="H327" s="17">
        <v>73273</v>
      </c>
      <c r="I327" s="17">
        <v>16035</v>
      </c>
      <c r="J327" s="17">
        <v>28669</v>
      </c>
      <c r="K327" s="6">
        <v>2022</v>
      </c>
      <c r="L327" s="12">
        <f t="shared" si="5"/>
        <v>253700.75</v>
      </c>
    </row>
    <row r="328" spans="1:12" x14ac:dyDescent="0.3">
      <c r="A328" s="31">
        <v>27</v>
      </c>
      <c r="B328" s="33" t="s">
        <v>38</v>
      </c>
      <c r="C328" s="33" t="s">
        <v>39</v>
      </c>
      <c r="D328" s="17">
        <v>648020</v>
      </c>
      <c r="E328" s="7">
        <v>972490</v>
      </c>
      <c r="F328" s="17">
        <v>85415</v>
      </c>
      <c r="G328" s="17">
        <v>82</v>
      </c>
      <c r="H328" s="17">
        <v>90749</v>
      </c>
      <c r="I328" s="17">
        <v>34770</v>
      </c>
      <c r="J328" s="17">
        <v>100000</v>
      </c>
      <c r="K328" s="6">
        <v>2022</v>
      </c>
      <c r="L328" s="12">
        <f t="shared" si="5"/>
        <v>287163.5</v>
      </c>
    </row>
    <row r="329" spans="1:12" x14ac:dyDescent="0.3">
      <c r="A329" s="31">
        <v>28</v>
      </c>
      <c r="B329" s="33" t="s">
        <v>106</v>
      </c>
      <c r="C329" s="33" t="s">
        <v>47</v>
      </c>
      <c r="D329" s="17">
        <v>647700</v>
      </c>
      <c r="E329" s="7">
        <v>777992</v>
      </c>
      <c r="F329" s="17">
        <v>76229</v>
      </c>
      <c r="G329" s="17">
        <v>76</v>
      </c>
      <c r="H329" s="17">
        <v>81787</v>
      </c>
      <c r="I329" s="17">
        <v>8393</v>
      </c>
      <c r="J329" s="17">
        <v>1047</v>
      </c>
      <c r="K329" s="6">
        <v>2022</v>
      </c>
      <c r="L329" s="12">
        <f t="shared" si="5"/>
        <v>234002</v>
      </c>
    </row>
    <row r="330" spans="1:12" x14ac:dyDescent="0.3">
      <c r="A330" s="31">
        <v>29</v>
      </c>
      <c r="B330" s="33" t="s">
        <v>52</v>
      </c>
      <c r="C330" s="33" t="s">
        <v>12</v>
      </c>
      <c r="D330" s="17">
        <v>647630</v>
      </c>
      <c r="E330" s="7">
        <v>818361</v>
      </c>
      <c r="F330" s="17">
        <v>91750</v>
      </c>
      <c r="G330" s="17">
        <v>81</v>
      </c>
      <c r="H330" s="17">
        <v>68232</v>
      </c>
      <c r="I330" s="17">
        <v>21683</v>
      </c>
      <c r="J330" s="17">
        <v>25393</v>
      </c>
      <c r="K330" s="6">
        <v>2022</v>
      </c>
      <c r="L330" s="12">
        <f t="shared" si="5"/>
        <v>244585.75</v>
      </c>
    </row>
    <row r="331" spans="1:12" x14ac:dyDescent="0.3">
      <c r="A331" s="31">
        <v>30</v>
      </c>
      <c r="B331" s="33" t="s">
        <v>48</v>
      </c>
      <c r="C331" s="33" t="s">
        <v>26</v>
      </c>
      <c r="D331" s="17">
        <v>647360</v>
      </c>
      <c r="E331" s="7">
        <v>730759</v>
      </c>
      <c r="F331" s="17">
        <v>89371</v>
      </c>
      <c r="G331" s="17">
        <v>76</v>
      </c>
      <c r="H331" s="17">
        <v>89858</v>
      </c>
      <c r="I331" s="17">
        <v>21930</v>
      </c>
      <c r="J331" s="17">
        <v>45200</v>
      </c>
      <c r="K331" s="6">
        <v>2022</v>
      </c>
      <c r="L331" s="12">
        <f t="shared" si="5"/>
        <v>227497</v>
      </c>
    </row>
    <row r="332" spans="1:12" x14ac:dyDescent="0.3">
      <c r="A332" s="31">
        <v>31</v>
      </c>
      <c r="B332" s="33" t="s">
        <v>68</v>
      </c>
      <c r="C332" s="33" t="s">
        <v>12</v>
      </c>
      <c r="D332" s="17">
        <v>646670</v>
      </c>
      <c r="E332" s="7">
        <v>830189</v>
      </c>
      <c r="F332" s="17">
        <v>79682</v>
      </c>
      <c r="G332" s="17">
        <v>80</v>
      </c>
      <c r="H332" s="17">
        <v>55740</v>
      </c>
      <c r="I332" s="17">
        <v>18239</v>
      </c>
      <c r="J332" s="17">
        <v>10098</v>
      </c>
      <c r="K332" s="6">
        <v>2022</v>
      </c>
      <c r="L332" s="12">
        <f t="shared" si="5"/>
        <v>241402.75</v>
      </c>
    </row>
    <row r="333" spans="1:12" x14ac:dyDescent="0.3">
      <c r="A333" s="31">
        <v>32</v>
      </c>
      <c r="B333" s="33" t="s">
        <v>87</v>
      </c>
      <c r="C333" s="33" t="s">
        <v>47</v>
      </c>
      <c r="D333" s="17">
        <v>645510</v>
      </c>
      <c r="E333" s="7">
        <v>616511</v>
      </c>
      <c r="F333" s="17">
        <v>71924</v>
      </c>
      <c r="G333" s="17">
        <v>73</v>
      </c>
      <c r="H333" s="17">
        <v>80922</v>
      </c>
      <c r="I333" s="17">
        <v>66076</v>
      </c>
      <c r="J333" s="17">
        <v>5966</v>
      </c>
      <c r="K333" s="6">
        <v>2022</v>
      </c>
      <c r="L333" s="12">
        <f t="shared" si="5"/>
        <v>192339.25</v>
      </c>
    </row>
    <row r="334" spans="1:12" x14ac:dyDescent="0.3">
      <c r="A334" s="31">
        <v>33</v>
      </c>
      <c r="B334" s="33" t="s">
        <v>53</v>
      </c>
      <c r="C334" s="33" t="s">
        <v>12</v>
      </c>
      <c r="D334" s="17">
        <v>644690</v>
      </c>
      <c r="E334" s="7">
        <v>832028</v>
      </c>
      <c r="F334" s="17">
        <v>88561</v>
      </c>
      <c r="G334" s="17">
        <v>80</v>
      </c>
      <c r="H334" s="17">
        <v>91775</v>
      </c>
      <c r="I334" s="17">
        <v>37249</v>
      </c>
      <c r="J334" s="17">
        <v>28261</v>
      </c>
      <c r="K334" s="6">
        <v>2022</v>
      </c>
      <c r="L334" s="12">
        <f t="shared" si="5"/>
        <v>253091</v>
      </c>
    </row>
    <row r="335" spans="1:12" x14ac:dyDescent="0.3">
      <c r="A335" s="31">
        <v>34</v>
      </c>
      <c r="B335" s="33" t="s">
        <v>74</v>
      </c>
      <c r="C335" s="33" t="s">
        <v>12</v>
      </c>
      <c r="D335" s="17">
        <v>644560</v>
      </c>
      <c r="E335" s="7">
        <v>816481</v>
      </c>
      <c r="F335" s="17">
        <v>91192</v>
      </c>
      <c r="G335" s="17">
        <v>76</v>
      </c>
      <c r="H335" s="17">
        <v>66978</v>
      </c>
      <c r="I335" s="17">
        <v>11378</v>
      </c>
      <c r="J335" s="17">
        <v>13111</v>
      </c>
      <c r="K335" s="6">
        <v>2022</v>
      </c>
      <c r="L335" s="12">
        <f t="shared" si="5"/>
        <v>243662.75</v>
      </c>
    </row>
    <row r="336" spans="1:12" x14ac:dyDescent="0.3">
      <c r="A336" s="31">
        <v>35</v>
      </c>
      <c r="B336" s="33" t="s">
        <v>63</v>
      </c>
      <c r="C336" s="33" t="s">
        <v>47</v>
      </c>
      <c r="D336" s="17">
        <v>639070</v>
      </c>
      <c r="E336" s="7">
        <v>785947</v>
      </c>
      <c r="F336" s="17">
        <v>93319</v>
      </c>
      <c r="G336" s="17">
        <v>78</v>
      </c>
      <c r="H336" s="17">
        <v>64679</v>
      </c>
      <c r="I336" s="17">
        <v>25180</v>
      </c>
      <c r="J336" s="17">
        <v>4181</v>
      </c>
      <c r="K336" s="6">
        <v>2022</v>
      </c>
      <c r="L336" s="12">
        <f t="shared" si="5"/>
        <v>235986.25</v>
      </c>
    </row>
    <row r="337" spans="1:12" x14ac:dyDescent="0.3">
      <c r="A337" s="31">
        <v>36</v>
      </c>
      <c r="B337" s="33" t="s">
        <v>92</v>
      </c>
      <c r="C337" s="33" t="s">
        <v>12</v>
      </c>
      <c r="D337" s="17">
        <v>634080</v>
      </c>
      <c r="E337" s="7">
        <v>811754</v>
      </c>
      <c r="F337" s="17">
        <v>93364</v>
      </c>
      <c r="G337" s="17">
        <v>78</v>
      </c>
      <c r="H337" s="17">
        <v>93145</v>
      </c>
      <c r="I337" s="17">
        <v>26272</v>
      </c>
      <c r="J337" s="17">
        <v>56726</v>
      </c>
      <c r="K337" s="6">
        <v>2022</v>
      </c>
      <c r="L337" s="12">
        <f t="shared" si="5"/>
        <v>249565.75</v>
      </c>
    </row>
    <row r="338" spans="1:12" x14ac:dyDescent="0.3">
      <c r="A338" s="31">
        <v>37</v>
      </c>
      <c r="B338" s="33" t="s">
        <v>40</v>
      </c>
      <c r="C338" s="33" t="s">
        <v>26</v>
      </c>
      <c r="D338" s="17">
        <v>630910</v>
      </c>
      <c r="E338" s="7">
        <v>776178</v>
      </c>
      <c r="F338" s="17">
        <v>83838</v>
      </c>
      <c r="G338" s="17">
        <v>78</v>
      </c>
      <c r="H338" s="17">
        <v>80043</v>
      </c>
      <c r="I338" s="17">
        <v>10441</v>
      </c>
      <c r="J338" s="17">
        <v>8740</v>
      </c>
      <c r="K338" s="6">
        <v>2022</v>
      </c>
      <c r="L338" s="12">
        <f t="shared" si="5"/>
        <v>235014.75</v>
      </c>
    </row>
    <row r="339" spans="1:12" x14ac:dyDescent="0.3">
      <c r="A339" s="31">
        <v>38</v>
      </c>
      <c r="B339" s="33" t="s">
        <v>30</v>
      </c>
      <c r="C339" s="33" t="s">
        <v>26</v>
      </c>
      <c r="D339" s="17">
        <v>629280</v>
      </c>
      <c r="E339" s="7">
        <v>661668</v>
      </c>
      <c r="F339" s="17">
        <v>79111</v>
      </c>
      <c r="G339" s="17">
        <v>75</v>
      </c>
      <c r="H339" s="17">
        <v>73827</v>
      </c>
      <c r="I339" s="17">
        <v>28005</v>
      </c>
      <c r="J339" s="17">
        <v>22882</v>
      </c>
      <c r="K339" s="6">
        <v>2022</v>
      </c>
      <c r="L339" s="12">
        <f t="shared" si="5"/>
        <v>203651.5</v>
      </c>
    </row>
    <row r="340" spans="1:12" x14ac:dyDescent="0.3">
      <c r="A340" s="31">
        <v>39</v>
      </c>
      <c r="B340" s="33" t="s">
        <v>60</v>
      </c>
      <c r="C340" s="33" t="s">
        <v>26</v>
      </c>
      <c r="D340" s="17">
        <v>626220</v>
      </c>
      <c r="E340" s="7">
        <v>576466</v>
      </c>
      <c r="F340" s="17">
        <v>62965</v>
      </c>
      <c r="G340" s="17">
        <v>72</v>
      </c>
      <c r="H340" s="17">
        <v>89476</v>
      </c>
      <c r="I340" s="17">
        <v>23985</v>
      </c>
      <c r="J340" s="17">
        <v>19561</v>
      </c>
      <c r="K340" s="6">
        <v>2022</v>
      </c>
      <c r="L340" s="12">
        <f t="shared" si="5"/>
        <v>182226.75</v>
      </c>
    </row>
    <row r="341" spans="1:12" x14ac:dyDescent="0.3">
      <c r="A341" s="31">
        <v>40</v>
      </c>
      <c r="B341" s="33" t="s">
        <v>72</v>
      </c>
      <c r="C341" s="33" t="s">
        <v>62</v>
      </c>
      <c r="D341" s="17">
        <v>623410</v>
      </c>
      <c r="E341" s="7">
        <v>754949</v>
      </c>
      <c r="F341" s="17">
        <v>92443</v>
      </c>
      <c r="G341" s="17">
        <v>75</v>
      </c>
      <c r="H341" s="17">
        <v>78852</v>
      </c>
      <c r="I341" s="17">
        <v>28593</v>
      </c>
      <c r="J341" s="17">
        <v>26778</v>
      </c>
      <c r="K341" s="6">
        <v>2022</v>
      </c>
      <c r="L341" s="12">
        <f t="shared" si="5"/>
        <v>231561</v>
      </c>
    </row>
    <row r="342" spans="1:12" x14ac:dyDescent="0.3">
      <c r="A342" s="31">
        <v>41</v>
      </c>
      <c r="B342" s="33" t="s">
        <v>85</v>
      </c>
      <c r="C342" s="33" t="s">
        <v>90</v>
      </c>
      <c r="D342" s="17">
        <v>622090</v>
      </c>
      <c r="E342" s="7">
        <v>821521</v>
      </c>
      <c r="F342" s="17">
        <v>68892</v>
      </c>
      <c r="G342" s="17">
        <v>81</v>
      </c>
      <c r="H342" s="17">
        <v>60557</v>
      </c>
      <c r="I342" s="17">
        <v>26356</v>
      </c>
      <c r="J342" s="17">
        <v>10528</v>
      </c>
      <c r="K342" s="6">
        <v>2022</v>
      </c>
      <c r="L342" s="12">
        <f t="shared" si="5"/>
        <v>237742.5</v>
      </c>
    </row>
    <row r="343" spans="1:12" x14ac:dyDescent="0.3">
      <c r="A343" s="31">
        <v>42</v>
      </c>
      <c r="B343" s="33" t="s">
        <v>109</v>
      </c>
      <c r="C343" s="33" t="s">
        <v>12</v>
      </c>
      <c r="D343" s="17">
        <v>618040</v>
      </c>
      <c r="E343" s="7">
        <v>783741</v>
      </c>
      <c r="F343" s="17">
        <v>92495</v>
      </c>
      <c r="G343" s="17">
        <v>75</v>
      </c>
      <c r="H343" s="17">
        <v>67845</v>
      </c>
      <c r="I343" s="17">
        <v>16089</v>
      </c>
      <c r="J343" s="17">
        <v>15420</v>
      </c>
      <c r="K343" s="6">
        <v>2022</v>
      </c>
      <c r="L343" s="12">
        <f t="shared" si="5"/>
        <v>236020.25</v>
      </c>
    </row>
    <row r="344" spans="1:12" x14ac:dyDescent="0.3">
      <c r="A344" s="31">
        <v>43</v>
      </c>
      <c r="B344" s="33" t="s">
        <v>107</v>
      </c>
      <c r="C344" s="33" t="s">
        <v>47</v>
      </c>
      <c r="D344" s="17">
        <v>617800</v>
      </c>
      <c r="E344" s="7">
        <v>701436</v>
      </c>
      <c r="F344" s="17">
        <v>82245</v>
      </c>
      <c r="G344" s="17">
        <v>76</v>
      </c>
      <c r="H344" s="17">
        <v>73761</v>
      </c>
      <c r="I344" s="17">
        <v>46725</v>
      </c>
      <c r="J344" s="17">
        <v>15064</v>
      </c>
      <c r="K344" s="6">
        <v>2022</v>
      </c>
      <c r="L344" s="12">
        <f t="shared" si="5"/>
        <v>214360.5</v>
      </c>
    </row>
    <row r="345" spans="1:12" x14ac:dyDescent="0.3">
      <c r="A345" s="31">
        <v>44</v>
      </c>
      <c r="B345" s="33" t="s">
        <v>42</v>
      </c>
      <c r="C345" s="33" t="s">
        <v>26</v>
      </c>
      <c r="D345" s="17">
        <v>617180</v>
      </c>
      <c r="E345" s="7">
        <v>747425</v>
      </c>
      <c r="F345" s="17">
        <v>81804</v>
      </c>
      <c r="G345" s="17">
        <v>79</v>
      </c>
      <c r="H345" s="17">
        <v>62162</v>
      </c>
      <c r="I345" s="17">
        <v>26430</v>
      </c>
      <c r="J345" s="17">
        <v>11689</v>
      </c>
      <c r="K345" s="6">
        <v>2022</v>
      </c>
      <c r="L345" s="12">
        <f t="shared" si="5"/>
        <v>222847.75</v>
      </c>
    </row>
    <row r="346" spans="1:12" x14ac:dyDescent="0.3">
      <c r="A346" s="31">
        <v>45</v>
      </c>
      <c r="B346" s="33" t="s">
        <v>75</v>
      </c>
      <c r="C346" s="33" t="s">
        <v>26</v>
      </c>
      <c r="D346" s="17">
        <v>616460</v>
      </c>
      <c r="E346" s="7">
        <v>500014</v>
      </c>
      <c r="F346" s="17">
        <v>77965</v>
      </c>
      <c r="G346" s="17">
        <v>75</v>
      </c>
      <c r="H346" s="17">
        <v>83340</v>
      </c>
      <c r="I346" s="17">
        <v>35862</v>
      </c>
      <c r="J346" s="17">
        <v>36102</v>
      </c>
      <c r="K346" s="6">
        <v>2022</v>
      </c>
      <c r="L346" s="12">
        <f t="shared" si="5"/>
        <v>165329.75</v>
      </c>
    </row>
    <row r="347" spans="1:12" x14ac:dyDescent="0.3">
      <c r="A347" s="31">
        <v>46</v>
      </c>
      <c r="B347" s="33" t="s">
        <v>28</v>
      </c>
      <c r="C347" s="33" t="s">
        <v>26</v>
      </c>
      <c r="D347" s="17">
        <v>612760</v>
      </c>
      <c r="E347" s="7">
        <v>702240</v>
      </c>
      <c r="F347" s="17">
        <v>67101</v>
      </c>
      <c r="G347" s="17">
        <v>75</v>
      </c>
      <c r="H347" s="17">
        <v>83965</v>
      </c>
      <c r="I347" s="17">
        <v>19635</v>
      </c>
      <c r="J347" s="17">
        <v>19636</v>
      </c>
      <c r="K347" s="6">
        <v>2022</v>
      </c>
      <c r="L347" s="12">
        <f t="shared" si="5"/>
        <v>213326.5</v>
      </c>
    </row>
    <row r="348" spans="1:12" x14ac:dyDescent="0.3">
      <c r="A348" s="31">
        <v>47</v>
      </c>
      <c r="B348" s="33" t="s">
        <v>80</v>
      </c>
      <c r="C348" s="33" t="s">
        <v>47</v>
      </c>
      <c r="D348" s="17">
        <v>612520</v>
      </c>
      <c r="E348" s="7">
        <v>771867</v>
      </c>
      <c r="F348" s="17">
        <v>89648</v>
      </c>
      <c r="G348" s="17">
        <v>78</v>
      </c>
      <c r="H348" s="17">
        <v>72241</v>
      </c>
      <c r="I348" s="17">
        <v>23325</v>
      </c>
      <c r="J348" s="17">
        <f>AVERAGE(J79,J213,J645)</f>
        <v>68380</v>
      </c>
      <c r="K348" s="6">
        <v>2022</v>
      </c>
      <c r="L348" s="12">
        <f t="shared" si="5"/>
        <v>233439</v>
      </c>
    </row>
    <row r="349" spans="1:12" x14ac:dyDescent="0.3">
      <c r="A349" s="31">
        <v>48</v>
      </c>
      <c r="B349" s="33" t="s">
        <v>78</v>
      </c>
      <c r="C349" s="33" t="s">
        <v>47</v>
      </c>
      <c r="D349" s="17">
        <v>612280</v>
      </c>
      <c r="E349" s="7">
        <v>795468</v>
      </c>
      <c r="F349" s="17">
        <v>88914</v>
      </c>
      <c r="G349" s="17">
        <v>78</v>
      </c>
      <c r="H349" s="17">
        <v>70671</v>
      </c>
      <c r="I349" s="17">
        <v>26538</v>
      </c>
      <c r="J349" s="17">
        <v>23877</v>
      </c>
      <c r="K349" s="6">
        <v>2022</v>
      </c>
      <c r="L349" s="12">
        <f t="shared" si="5"/>
        <v>238763.25</v>
      </c>
    </row>
    <row r="350" spans="1:12" x14ac:dyDescent="0.3">
      <c r="A350" s="31">
        <v>49</v>
      </c>
      <c r="B350" s="33" t="s">
        <v>59</v>
      </c>
      <c r="C350" s="33" t="s">
        <v>26</v>
      </c>
      <c r="D350" s="17">
        <v>612000</v>
      </c>
      <c r="E350" s="7">
        <v>572506</v>
      </c>
      <c r="F350" s="17">
        <v>58176</v>
      </c>
      <c r="G350" s="17">
        <v>75</v>
      </c>
      <c r="H350" s="17">
        <v>89984</v>
      </c>
      <c r="I350" s="17">
        <v>18951</v>
      </c>
      <c r="J350" s="17">
        <v>36099</v>
      </c>
      <c r="K350" s="6">
        <v>2022</v>
      </c>
      <c r="L350" s="12">
        <f t="shared" si="5"/>
        <v>180166.5</v>
      </c>
    </row>
    <row r="351" spans="1:12" x14ac:dyDescent="0.3">
      <c r="A351" s="31">
        <v>50</v>
      </c>
      <c r="B351" s="33" t="s">
        <v>56</v>
      </c>
      <c r="C351" s="33" t="s">
        <v>24</v>
      </c>
      <c r="D351" s="17">
        <v>610610</v>
      </c>
      <c r="E351" s="7">
        <v>861713</v>
      </c>
      <c r="F351" s="17">
        <v>74496</v>
      </c>
      <c r="G351" s="17">
        <v>79</v>
      </c>
      <c r="H351" s="17">
        <v>83419</v>
      </c>
      <c r="I351" s="17">
        <v>18583</v>
      </c>
      <c r="J351" s="17">
        <v>24989</v>
      </c>
      <c r="K351" s="6">
        <v>2022</v>
      </c>
      <c r="L351" s="12">
        <f t="shared" si="5"/>
        <v>254907</v>
      </c>
    </row>
    <row r="352" spans="1:12" x14ac:dyDescent="0.3">
      <c r="A352" s="31">
        <v>51</v>
      </c>
      <c r="B352" s="33" t="s">
        <v>124</v>
      </c>
      <c r="C352" s="33" t="s">
        <v>47</v>
      </c>
      <c r="D352" s="17">
        <v>608590</v>
      </c>
      <c r="E352" s="7">
        <v>791093</v>
      </c>
      <c r="F352" s="17">
        <v>93384</v>
      </c>
      <c r="G352" s="17">
        <v>76</v>
      </c>
      <c r="H352" s="17">
        <v>65489</v>
      </c>
      <c r="I352" s="17">
        <v>16603</v>
      </c>
      <c r="J352" s="17">
        <v>10886</v>
      </c>
      <c r="K352" s="6">
        <v>2022</v>
      </c>
      <c r="L352" s="12">
        <f t="shared" si="5"/>
        <v>237491.5</v>
      </c>
    </row>
    <row r="353" spans="1:12" x14ac:dyDescent="0.3">
      <c r="A353" s="31">
        <v>52</v>
      </c>
      <c r="B353" s="33" t="s">
        <v>89</v>
      </c>
      <c r="C353" s="33" t="s">
        <v>90</v>
      </c>
      <c r="D353" s="17">
        <v>607110</v>
      </c>
      <c r="E353" s="7">
        <v>720156</v>
      </c>
      <c r="F353" s="17">
        <v>84581</v>
      </c>
      <c r="G353" s="17">
        <v>73</v>
      </c>
      <c r="H353" s="17">
        <v>79651</v>
      </c>
      <c r="I353" s="17">
        <v>27965</v>
      </c>
      <c r="J353" s="17">
        <v>18227</v>
      </c>
      <c r="K353" s="6">
        <v>2022</v>
      </c>
      <c r="L353" s="12">
        <f t="shared" si="5"/>
        <v>221097</v>
      </c>
    </row>
    <row r="354" spans="1:12" x14ac:dyDescent="0.3">
      <c r="A354" s="31">
        <v>53</v>
      </c>
      <c r="B354" s="33" t="s">
        <v>61</v>
      </c>
      <c r="C354" s="33" t="s">
        <v>62</v>
      </c>
      <c r="D354" s="17">
        <v>606270</v>
      </c>
      <c r="E354" s="7">
        <v>551801</v>
      </c>
      <c r="F354" s="17">
        <v>82699</v>
      </c>
      <c r="G354" s="17">
        <v>74</v>
      </c>
      <c r="H354" s="17">
        <v>96707</v>
      </c>
      <c r="I354" s="17">
        <v>60507</v>
      </c>
      <c r="J354" s="17">
        <v>40970</v>
      </c>
      <c r="K354" s="6">
        <v>2022</v>
      </c>
      <c r="L354" s="12">
        <f t="shared" si="5"/>
        <v>182801.75</v>
      </c>
    </row>
    <row r="355" spans="1:12" x14ac:dyDescent="0.3">
      <c r="A355" s="31">
        <v>54</v>
      </c>
      <c r="B355" s="33" t="s">
        <v>64</v>
      </c>
      <c r="C355" s="33" t="s">
        <v>55</v>
      </c>
      <c r="D355" s="17">
        <v>603890</v>
      </c>
      <c r="E355" s="7">
        <v>830320</v>
      </c>
      <c r="F355" s="17">
        <v>82532</v>
      </c>
      <c r="G355" s="17">
        <v>82</v>
      </c>
      <c r="H355" s="17">
        <v>72502</v>
      </c>
      <c r="I355" s="17">
        <v>1532</v>
      </c>
      <c r="J355" s="17">
        <v>37182</v>
      </c>
      <c r="K355" s="6">
        <v>2022</v>
      </c>
      <c r="L355" s="12">
        <f t="shared" si="5"/>
        <v>246338.5</v>
      </c>
    </row>
    <row r="356" spans="1:12" x14ac:dyDescent="0.3">
      <c r="A356" s="31">
        <v>55</v>
      </c>
      <c r="B356" s="33" t="s">
        <v>125</v>
      </c>
      <c r="C356" s="33" t="s">
        <v>26</v>
      </c>
      <c r="D356" s="17">
        <v>602210</v>
      </c>
      <c r="E356" s="7">
        <v>502979</v>
      </c>
      <c r="F356" s="17">
        <v>67050</v>
      </c>
      <c r="G356" s="17">
        <v>73</v>
      </c>
      <c r="H356" s="17">
        <v>78665</v>
      </c>
      <c r="I356" s="17">
        <v>43168</v>
      </c>
      <c r="J356" s="17">
        <v>13034</v>
      </c>
      <c r="K356" s="6">
        <v>2022</v>
      </c>
      <c r="L356" s="12">
        <f t="shared" si="5"/>
        <v>162173.5</v>
      </c>
    </row>
    <row r="357" spans="1:12" x14ac:dyDescent="0.3">
      <c r="A357" s="31">
        <v>56</v>
      </c>
      <c r="B357" s="33" t="s">
        <v>108</v>
      </c>
      <c r="C357" s="33" t="s">
        <v>12</v>
      </c>
      <c r="D357" s="17">
        <v>601630</v>
      </c>
      <c r="E357" s="7">
        <v>796549</v>
      </c>
      <c r="F357" s="17">
        <v>81707</v>
      </c>
      <c r="G357" s="17">
        <v>80</v>
      </c>
      <c r="H357" s="17">
        <v>88467</v>
      </c>
      <c r="I357" s="17">
        <v>3490</v>
      </c>
      <c r="J357" s="17">
        <v>6674</v>
      </c>
      <c r="K357" s="6">
        <v>2022</v>
      </c>
      <c r="L357" s="12">
        <f t="shared" si="5"/>
        <v>241680.75</v>
      </c>
    </row>
    <row r="358" spans="1:12" x14ac:dyDescent="0.3">
      <c r="A358" s="31">
        <v>57</v>
      </c>
      <c r="B358" s="33" t="s">
        <v>45</v>
      </c>
      <c r="C358" s="33" t="s">
        <v>26</v>
      </c>
      <c r="D358" s="17">
        <v>596700</v>
      </c>
      <c r="E358" s="7">
        <v>720403</v>
      </c>
      <c r="F358" s="17">
        <v>83488</v>
      </c>
      <c r="G358" s="17">
        <v>76</v>
      </c>
      <c r="H358" s="17">
        <v>75047</v>
      </c>
      <c r="I358" s="17">
        <v>17207</v>
      </c>
      <c r="J358" s="17">
        <v>14472</v>
      </c>
      <c r="K358" s="6">
        <v>2022</v>
      </c>
      <c r="L358" s="12">
        <f t="shared" si="5"/>
        <v>219734.5</v>
      </c>
    </row>
    <row r="359" spans="1:12" x14ac:dyDescent="0.3">
      <c r="A359" s="31">
        <v>58</v>
      </c>
      <c r="B359" s="33" t="s">
        <v>122</v>
      </c>
      <c r="C359" s="33" t="s">
        <v>24</v>
      </c>
      <c r="D359" s="17">
        <v>594820</v>
      </c>
      <c r="E359" s="7">
        <v>770827</v>
      </c>
      <c r="F359" s="17">
        <v>74276</v>
      </c>
      <c r="G359" s="17">
        <v>80</v>
      </c>
      <c r="H359" s="17">
        <v>33669</v>
      </c>
      <c r="I359" s="17">
        <v>3189</v>
      </c>
      <c r="J359" s="17">
        <v>18461</v>
      </c>
      <c r="K359" s="6">
        <v>2022</v>
      </c>
      <c r="L359" s="12">
        <f t="shared" si="5"/>
        <v>219693</v>
      </c>
    </row>
    <row r="360" spans="1:12" x14ac:dyDescent="0.3">
      <c r="A360" s="31">
        <v>59</v>
      </c>
      <c r="B360" s="33" t="s">
        <v>65</v>
      </c>
      <c r="C360" s="33" t="s">
        <v>55</v>
      </c>
      <c r="D360" s="17">
        <v>593510</v>
      </c>
      <c r="E360" s="7">
        <v>837826</v>
      </c>
      <c r="F360" s="17">
        <v>67108</v>
      </c>
      <c r="G360" s="17">
        <v>82</v>
      </c>
      <c r="H360" s="17">
        <v>55924</v>
      </c>
      <c r="I360" s="17">
        <v>23723</v>
      </c>
      <c r="J360" s="17">
        <v>30003</v>
      </c>
      <c r="K360" s="6">
        <v>2022</v>
      </c>
      <c r="L360" s="12">
        <f t="shared" si="5"/>
        <v>240214.5</v>
      </c>
    </row>
    <row r="361" spans="1:12" x14ac:dyDescent="0.3">
      <c r="A361" s="31">
        <v>60</v>
      </c>
      <c r="B361" s="33" t="s">
        <v>110</v>
      </c>
      <c r="C361" s="33" t="s">
        <v>39</v>
      </c>
      <c r="D361" s="17">
        <v>590360</v>
      </c>
      <c r="E361" s="7">
        <v>573773</v>
      </c>
      <c r="F361" s="17">
        <v>69088</v>
      </c>
      <c r="G361" s="17">
        <v>72</v>
      </c>
      <c r="H361" s="17">
        <v>91683</v>
      </c>
      <c r="I361" s="17">
        <v>22929</v>
      </c>
      <c r="J361" s="17">
        <v>24142</v>
      </c>
      <c r="K361" s="6">
        <v>2022</v>
      </c>
      <c r="L361" s="12">
        <f t="shared" si="5"/>
        <v>183636</v>
      </c>
    </row>
    <row r="362" spans="1:12" x14ac:dyDescent="0.3">
      <c r="A362" s="31">
        <v>61</v>
      </c>
      <c r="B362" s="33" t="s">
        <v>50</v>
      </c>
      <c r="C362" s="33" t="s">
        <v>39</v>
      </c>
      <c r="D362" s="17">
        <v>589120</v>
      </c>
      <c r="E362" s="7">
        <v>694772</v>
      </c>
      <c r="F362" s="17">
        <v>83005</v>
      </c>
      <c r="G362" s="17">
        <v>77</v>
      </c>
      <c r="H362" s="17">
        <v>83327</v>
      </c>
      <c r="I362" s="17">
        <v>68600</v>
      </c>
      <c r="J362" s="17">
        <v>4437</v>
      </c>
      <c r="K362" s="6">
        <v>2022</v>
      </c>
      <c r="L362" s="12">
        <f t="shared" si="5"/>
        <v>215276</v>
      </c>
    </row>
    <row r="363" spans="1:12" x14ac:dyDescent="0.3">
      <c r="A363" s="31">
        <v>62</v>
      </c>
      <c r="B363" s="33" t="s">
        <v>70</v>
      </c>
      <c r="C363" s="33" t="s">
        <v>47</v>
      </c>
      <c r="D363" s="17">
        <v>585680</v>
      </c>
      <c r="E363" s="7">
        <v>641518</v>
      </c>
      <c r="F363" s="17">
        <v>76404</v>
      </c>
      <c r="G363" s="17">
        <v>74</v>
      </c>
      <c r="H363" s="17">
        <v>75835</v>
      </c>
      <c r="I363" s="17">
        <v>21864</v>
      </c>
      <c r="J363" s="17">
        <v>4855</v>
      </c>
      <c r="K363" s="6">
        <v>2022</v>
      </c>
      <c r="L363" s="12">
        <f t="shared" si="5"/>
        <v>198439.25</v>
      </c>
    </row>
    <row r="364" spans="1:12" x14ac:dyDescent="0.3">
      <c r="A364" s="31">
        <v>63</v>
      </c>
      <c r="B364" s="33" t="s">
        <v>83</v>
      </c>
      <c r="C364" s="33" t="s">
        <v>26</v>
      </c>
      <c r="D364" s="17">
        <v>584960</v>
      </c>
      <c r="E364" s="7">
        <v>586501</v>
      </c>
      <c r="F364" s="17">
        <v>79157</v>
      </c>
      <c r="G364" s="17">
        <v>76</v>
      </c>
      <c r="H364" s="17">
        <v>76602</v>
      </c>
      <c r="I364" s="17">
        <v>17028</v>
      </c>
      <c r="J364" s="17">
        <v>8977</v>
      </c>
      <c r="K364" s="6">
        <v>2022</v>
      </c>
      <c r="L364" s="12">
        <f t="shared" si="5"/>
        <v>185565</v>
      </c>
    </row>
    <row r="365" spans="1:12" x14ac:dyDescent="0.3">
      <c r="A365" s="31">
        <v>64</v>
      </c>
      <c r="B365" s="33" t="s">
        <v>96</v>
      </c>
      <c r="C365" s="33" t="s">
        <v>62</v>
      </c>
      <c r="D365" s="17">
        <v>582850</v>
      </c>
      <c r="E365" s="7">
        <v>483649</v>
      </c>
      <c r="F365" s="17">
        <v>84056</v>
      </c>
      <c r="G365" s="17">
        <v>75</v>
      </c>
      <c r="H365" s="17">
        <v>93652</v>
      </c>
      <c r="I365" s="17">
        <v>44485</v>
      </c>
      <c r="J365" s="17">
        <v>4223</v>
      </c>
      <c r="K365" s="6">
        <v>2022</v>
      </c>
      <c r="L365" s="12">
        <f t="shared" si="5"/>
        <v>165339.25</v>
      </c>
    </row>
    <row r="366" spans="1:12" x14ac:dyDescent="0.3">
      <c r="A366" s="31">
        <v>65</v>
      </c>
      <c r="B366" s="33" t="s">
        <v>77</v>
      </c>
      <c r="C366" s="33" t="s">
        <v>62</v>
      </c>
      <c r="D366" s="17">
        <v>582150</v>
      </c>
      <c r="E366" s="7">
        <v>706956</v>
      </c>
      <c r="F366" s="17">
        <v>87623</v>
      </c>
      <c r="G366" s="17">
        <v>75</v>
      </c>
      <c r="H366" s="17">
        <v>46192</v>
      </c>
      <c r="I366" s="17">
        <v>8452</v>
      </c>
      <c r="J366" s="17">
        <v>48057</v>
      </c>
      <c r="K366" s="6">
        <v>2022</v>
      </c>
      <c r="L366" s="12">
        <f t="shared" si="5"/>
        <v>210192.75</v>
      </c>
    </row>
    <row r="367" spans="1:12" x14ac:dyDescent="0.3">
      <c r="A367" s="31">
        <v>66</v>
      </c>
      <c r="B367" s="33" t="s">
        <v>49</v>
      </c>
      <c r="C367" s="33" t="s">
        <v>26</v>
      </c>
      <c r="D367" s="17">
        <v>578060</v>
      </c>
      <c r="E367" s="7">
        <v>657073</v>
      </c>
      <c r="F367" s="17">
        <v>70354</v>
      </c>
      <c r="G367" s="17">
        <v>78</v>
      </c>
      <c r="H367" s="17">
        <v>73647</v>
      </c>
      <c r="I367" s="17">
        <v>18617</v>
      </c>
      <c r="J367" s="17">
        <v>13074</v>
      </c>
      <c r="K367" s="6">
        <v>2022</v>
      </c>
      <c r="L367" s="12">
        <f t="shared" si="5"/>
        <v>200268.5</v>
      </c>
    </row>
    <row r="368" spans="1:12" x14ac:dyDescent="0.3">
      <c r="A368" s="31">
        <v>67</v>
      </c>
      <c r="B368" s="33" t="s">
        <v>116</v>
      </c>
      <c r="C368" s="33" t="s">
        <v>47</v>
      </c>
      <c r="D368" s="17">
        <v>576800</v>
      </c>
      <c r="E368" s="7">
        <v>664551</v>
      </c>
      <c r="F368" s="17">
        <v>80916</v>
      </c>
      <c r="G368" s="17">
        <v>76</v>
      </c>
      <c r="H368" s="17">
        <v>60556</v>
      </c>
      <c r="I368" s="17">
        <v>52131</v>
      </c>
      <c r="J368" s="17">
        <v>938</v>
      </c>
      <c r="K368" s="6">
        <v>2022</v>
      </c>
      <c r="L368" s="12">
        <f t="shared" si="5"/>
        <v>201505.75</v>
      </c>
    </row>
    <row r="369" spans="1:12" x14ac:dyDescent="0.3">
      <c r="A369" s="31">
        <v>68</v>
      </c>
      <c r="B369" s="33" t="s">
        <v>120</v>
      </c>
      <c r="C369" s="33" t="s">
        <v>55</v>
      </c>
      <c r="D369" s="17">
        <v>576070</v>
      </c>
      <c r="E369" s="7">
        <v>630479</v>
      </c>
      <c r="F369" s="17">
        <v>90722</v>
      </c>
      <c r="G369" s="17">
        <v>70</v>
      </c>
      <c r="H369" s="17">
        <v>53758</v>
      </c>
      <c r="I369" s="17">
        <v>52816</v>
      </c>
      <c r="J369" s="17">
        <v>10095</v>
      </c>
      <c r="K369" s="6">
        <v>2022</v>
      </c>
      <c r="L369" s="12">
        <f t="shared" si="5"/>
        <v>193739.75</v>
      </c>
    </row>
    <row r="370" spans="1:12" x14ac:dyDescent="0.3">
      <c r="A370" s="31">
        <v>69</v>
      </c>
      <c r="B370" s="33" t="s">
        <v>118</v>
      </c>
      <c r="C370" s="33" t="s">
        <v>26</v>
      </c>
      <c r="D370" s="17">
        <v>573720</v>
      </c>
      <c r="E370" s="7">
        <v>695908</v>
      </c>
      <c r="F370" s="17">
        <v>75982</v>
      </c>
      <c r="G370" s="17">
        <v>74</v>
      </c>
      <c r="H370" s="17">
        <v>81898</v>
      </c>
      <c r="I370" s="17">
        <v>17961</v>
      </c>
      <c r="J370" s="17">
        <v>30446</v>
      </c>
      <c r="K370" s="6">
        <v>2022</v>
      </c>
      <c r="L370" s="12">
        <f t="shared" si="5"/>
        <v>213447</v>
      </c>
    </row>
    <row r="371" spans="1:12" x14ac:dyDescent="0.3">
      <c r="A371" s="31">
        <v>70</v>
      </c>
      <c r="B371" s="33" t="s">
        <v>79</v>
      </c>
      <c r="C371" s="33" t="s">
        <v>39</v>
      </c>
      <c r="D371" s="17">
        <v>571130</v>
      </c>
      <c r="E371" s="7">
        <v>764581</v>
      </c>
      <c r="F371" s="17">
        <v>71039</v>
      </c>
      <c r="G371" s="17">
        <v>75</v>
      </c>
      <c r="H371" s="17">
        <v>88411</v>
      </c>
      <c r="I371" s="17">
        <v>45554</v>
      </c>
      <c r="J371" s="17">
        <v>21412</v>
      </c>
      <c r="K371" s="6">
        <v>2022</v>
      </c>
      <c r="L371" s="12">
        <f t="shared" si="5"/>
        <v>231007.75</v>
      </c>
    </row>
    <row r="372" spans="1:12" x14ac:dyDescent="0.3">
      <c r="A372" s="31">
        <v>71</v>
      </c>
      <c r="B372" s="33" t="s">
        <v>69</v>
      </c>
      <c r="C372" s="33" t="s">
        <v>26</v>
      </c>
      <c r="D372" s="17">
        <v>560030</v>
      </c>
      <c r="E372" s="7">
        <v>568393</v>
      </c>
      <c r="F372" s="17">
        <v>66661</v>
      </c>
      <c r="G372" s="17">
        <v>73</v>
      </c>
      <c r="H372" s="17">
        <v>84706</v>
      </c>
      <c r="I372" s="17">
        <v>23856</v>
      </c>
      <c r="J372" s="17">
        <v>10937</v>
      </c>
      <c r="K372" s="6">
        <v>2022</v>
      </c>
      <c r="L372" s="12">
        <f t="shared" si="5"/>
        <v>179940</v>
      </c>
    </row>
    <row r="373" spans="1:12" x14ac:dyDescent="0.3">
      <c r="A373" s="31">
        <v>72</v>
      </c>
      <c r="B373" s="33" t="s">
        <v>104</v>
      </c>
      <c r="C373" s="33" t="s">
        <v>55</v>
      </c>
      <c r="D373" s="17">
        <v>558530</v>
      </c>
      <c r="E373" s="7">
        <v>682742</v>
      </c>
      <c r="F373" s="17">
        <v>72609</v>
      </c>
      <c r="G373" s="17">
        <v>77</v>
      </c>
      <c r="H373" s="17">
        <v>88709</v>
      </c>
      <c r="I373" s="17">
        <v>21219</v>
      </c>
      <c r="J373" s="17">
        <v>24242</v>
      </c>
      <c r="K373" s="6">
        <v>2022</v>
      </c>
      <c r="L373" s="12">
        <f t="shared" si="5"/>
        <v>211015</v>
      </c>
    </row>
    <row r="374" spans="1:12" x14ac:dyDescent="0.3">
      <c r="A374" s="31">
        <v>73</v>
      </c>
      <c r="B374" s="33" t="s">
        <v>71</v>
      </c>
      <c r="C374" s="33" t="s">
        <v>26</v>
      </c>
      <c r="D374" s="17">
        <v>557830</v>
      </c>
      <c r="E374" s="7">
        <v>637543</v>
      </c>
      <c r="F374" s="17">
        <v>85633</v>
      </c>
      <c r="G374" s="17">
        <v>75</v>
      </c>
      <c r="H374" s="17">
        <v>84979</v>
      </c>
      <c r="I374" s="17">
        <v>36596</v>
      </c>
      <c r="J374" s="17">
        <v>10116</v>
      </c>
      <c r="K374" s="6">
        <v>2022</v>
      </c>
      <c r="L374" s="12">
        <f t="shared" si="5"/>
        <v>202038.75</v>
      </c>
    </row>
    <row r="375" spans="1:12" x14ac:dyDescent="0.3">
      <c r="A375" s="31">
        <v>74</v>
      </c>
      <c r="B375" s="33" t="s">
        <v>76</v>
      </c>
      <c r="C375" s="33" t="s">
        <v>26</v>
      </c>
      <c r="D375" s="17">
        <v>555910</v>
      </c>
      <c r="E375" s="7">
        <v>632524</v>
      </c>
      <c r="F375" s="17">
        <v>65505</v>
      </c>
      <c r="G375" s="17">
        <v>78</v>
      </c>
      <c r="H375" s="17">
        <v>73680</v>
      </c>
      <c r="I375" s="17">
        <v>19147</v>
      </c>
      <c r="J375" s="17">
        <v>6305</v>
      </c>
      <c r="K375" s="6">
        <v>2022</v>
      </c>
      <c r="L375" s="12">
        <f t="shared" si="5"/>
        <v>192927.25</v>
      </c>
    </row>
    <row r="376" spans="1:12" x14ac:dyDescent="0.3">
      <c r="A376" s="31">
        <v>75</v>
      </c>
      <c r="B376" s="33" t="s">
        <v>102</v>
      </c>
      <c r="C376" s="33" t="s">
        <v>47</v>
      </c>
      <c r="D376" s="17">
        <v>554680</v>
      </c>
      <c r="E376" s="7">
        <v>712120</v>
      </c>
      <c r="F376" s="17">
        <v>77533</v>
      </c>
      <c r="G376" s="17">
        <v>76</v>
      </c>
      <c r="H376" s="17">
        <v>62190</v>
      </c>
      <c r="I376" s="17">
        <v>28808</v>
      </c>
      <c r="J376" s="17">
        <v>13123</v>
      </c>
      <c r="K376" s="6">
        <v>2022</v>
      </c>
      <c r="L376" s="12">
        <f t="shared" si="5"/>
        <v>212960.75</v>
      </c>
    </row>
    <row r="377" spans="1:12" x14ac:dyDescent="0.3">
      <c r="A377" s="31">
        <v>76</v>
      </c>
      <c r="B377" s="33" t="s">
        <v>66</v>
      </c>
      <c r="C377" s="33" t="s">
        <v>26</v>
      </c>
      <c r="D377" s="17">
        <v>553330</v>
      </c>
      <c r="E377" s="7">
        <v>611796</v>
      </c>
      <c r="F377" s="17">
        <v>66607</v>
      </c>
      <c r="G377" s="17">
        <v>78</v>
      </c>
      <c r="H377" s="17">
        <v>76310</v>
      </c>
      <c r="I377" s="17">
        <v>17165</v>
      </c>
      <c r="J377" s="17">
        <v>14163</v>
      </c>
      <c r="K377" s="6">
        <v>2022</v>
      </c>
      <c r="L377" s="12">
        <f t="shared" si="5"/>
        <v>188678.25</v>
      </c>
    </row>
    <row r="378" spans="1:12" x14ac:dyDescent="0.3">
      <c r="A378" s="31">
        <v>77</v>
      </c>
      <c r="B378" s="33" t="s">
        <v>94</v>
      </c>
      <c r="C378" s="33" t="s">
        <v>39</v>
      </c>
      <c r="D378" s="17">
        <v>548500</v>
      </c>
      <c r="E378" s="7">
        <v>566806</v>
      </c>
      <c r="F378" s="17">
        <v>70576</v>
      </c>
      <c r="G378" s="17">
        <v>75</v>
      </c>
      <c r="H378" s="17">
        <v>95532</v>
      </c>
      <c r="I378" s="17">
        <v>30553</v>
      </c>
      <c r="J378" s="17">
        <v>17950</v>
      </c>
      <c r="K378" s="6">
        <v>2022</v>
      </c>
      <c r="L378" s="12">
        <f t="shared" si="5"/>
        <v>183228.5</v>
      </c>
    </row>
    <row r="379" spans="1:12" x14ac:dyDescent="0.3">
      <c r="A379" s="31">
        <v>78</v>
      </c>
      <c r="B379" s="33" t="s">
        <v>88</v>
      </c>
      <c r="C379" s="33" t="s">
        <v>62</v>
      </c>
      <c r="D379" s="17">
        <v>547430</v>
      </c>
      <c r="E379" s="7">
        <v>671819</v>
      </c>
      <c r="F379" s="17">
        <v>99927</v>
      </c>
      <c r="G379" s="17">
        <v>72</v>
      </c>
      <c r="H379" s="17">
        <v>87696</v>
      </c>
      <c r="I379" s="17">
        <v>67169</v>
      </c>
      <c r="J379" s="17">
        <v>5386</v>
      </c>
      <c r="K379" s="6">
        <v>2022</v>
      </c>
      <c r="L379" s="12">
        <f t="shared" si="5"/>
        <v>214860.5</v>
      </c>
    </row>
    <row r="380" spans="1:12" x14ac:dyDescent="0.3">
      <c r="A380" s="31">
        <v>80</v>
      </c>
      <c r="B380" s="33" t="s">
        <v>82</v>
      </c>
      <c r="C380" s="33" t="s">
        <v>62</v>
      </c>
      <c r="D380" s="17">
        <v>545860</v>
      </c>
      <c r="E380" s="7">
        <v>762519</v>
      </c>
      <c r="F380" s="17">
        <v>82975</v>
      </c>
      <c r="G380" s="17">
        <v>74</v>
      </c>
      <c r="H380" s="17">
        <v>54241</v>
      </c>
      <c r="I380" s="17">
        <v>25053</v>
      </c>
      <c r="J380" s="17">
        <v>13602</v>
      </c>
      <c r="K380" s="6">
        <v>2022</v>
      </c>
      <c r="L380" s="12">
        <f t="shared" si="5"/>
        <v>224933.75</v>
      </c>
    </row>
    <row r="381" spans="1:12" x14ac:dyDescent="0.3">
      <c r="A381" s="31">
        <v>81</v>
      </c>
      <c r="B381" s="33" t="s">
        <v>185</v>
      </c>
      <c r="C381" s="33" t="s">
        <v>55</v>
      </c>
      <c r="D381" s="17">
        <v>542480</v>
      </c>
      <c r="E381" s="7">
        <v>885912</v>
      </c>
      <c r="F381" s="17">
        <v>72298</v>
      </c>
      <c r="G381" s="17">
        <v>85</v>
      </c>
      <c r="H381" s="17">
        <v>54097</v>
      </c>
      <c r="I381" s="17">
        <v>31356</v>
      </c>
      <c r="J381" s="17">
        <v>65224</v>
      </c>
      <c r="K381" s="6">
        <v>2022</v>
      </c>
      <c r="L381" s="12">
        <f t="shared" si="5"/>
        <v>253076.75</v>
      </c>
    </row>
    <row r="382" spans="1:12" x14ac:dyDescent="0.3">
      <c r="A382" s="31">
        <v>82</v>
      </c>
      <c r="B382" s="33" t="s">
        <v>147</v>
      </c>
      <c r="C382" s="33" t="s">
        <v>62</v>
      </c>
      <c r="D382" s="17">
        <v>539860</v>
      </c>
      <c r="E382" s="7">
        <v>649102</v>
      </c>
      <c r="F382" s="17">
        <v>62118</v>
      </c>
      <c r="G382" s="17">
        <v>76</v>
      </c>
      <c r="H382" s="17">
        <v>75348</v>
      </c>
      <c r="I382" s="17">
        <v>11645</v>
      </c>
      <c r="J382" s="17">
        <v>35769</v>
      </c>
      <c r="K382" s="6">
        <v>2022</v>
      </c>
      <c r="L382" s="12">
        <f t="shared" si="5"/>
        <v>196642</v>
      </c>
    </row>
    <row r="383" spans="1:12" x14ac:dyDescent="0.3">
      <c r="A383" s="31">
        <v>83</v>
      </c>
      <c r="B383" s="33" t="s">
        <v>126</v>
      </c>
      <c r="C383" s="33" t="s">
        <v>62</v>
      </c>
      <c r="D383" s="17">
        <v>537710</v>
      </c>
      <c r="E383" s="7">
        <v>437416</v>
      </c>
      <c r="F383" s="17">
        <v>76155</v>
      </c>
      <c r="G383" s="17">
        <v>72</v>
      </c>
      <c r="H383" s="17">
        <v>77231</v>
      </c>
      <c r="I383" s="17">
        <v>25127</v>
      </c>
      <c r="J383" s="17">
        <v>51789</v>
      </c>
      <c r="K383" s="6">
        <v>2022</v>
      </c>
      <c r="L383" s="12">
        <f t="shared" si="5"/>
        <v>147700.5</v>
      </c>
    </row>
    <row r="384" spans="1:12" x14ac:dyDescent="0.3">
      <c r="A384" s="31">
        <v>84</v>
      </c>
      <c r="B384" s="33" t="s">
        <v>141</v>
      </c>
      <c r="C384" s="33" t="s">
        <v>99</v>
      </c>
      <c r="D384" s="17">
        <v>537650</v>
      </c>
      <c r="E384" s="7">
        <v>445594</v>
      </c>
      <c r="F384" s="17">
        <v>59380</v>
      </c>
      <c r="G384" s="17">
        <v>71</v>
      </c>
      <c r="H384" s="17">
        <v>70065</v>
      </c>
      <c r="I384" s="17">
        <v>50597</v>
      </c>
      <c r="J384" s="17">
        <v>22120</v>
      </c>
      <c r="K384" s="6">
        <v>2022</v>
      </c>
      <c r="L384" s="12">
        <f t="shared" si="5"/>
        <v>143759.75</v>
      </c>
    </row>
    <row r="385" spans="1:12" x14ac:dyDescent="0.3">
      <c r="A385" s="31">
        <v>85</v>
      </c>
      <c r="B385" s="33" t="s">
        <v>154</v>
      </c>
      <c r="C385" s="33" t="s">
        <v>47</v>
      </c>
      <c r="D385" s="17">
        <v>537090</v>
      </c>
      <c r="E385" s="7">
        <v>735471</v>
      </c>
      <c r="F385" s="17">
        <v>88104</v>
      </c>
      <c r="G385" s="17">
        <v>76</v>
      </c>
      <c r="H385" s="17">
        <v>76056</v>
      </c>
      <c r="I385" s="17">
        <v>26345</v>
      </c>
      <c r="J385" s="17">
        <v>3616</v>
      </c>
      <c r="K385" s="6">
        <v>2022</v>
      </c>
      <c r="L385" s="12">
        <f t="shared" si="5"/>
        <v>224907.75</v>
      </c>
    </row>
    <row r="386" spans="1:12" x14ac:dyDescent="0.3">
      <c r="A386" s="31">
        <v>86</v>
      </c>
      <c r="B386" s="33" t="s">
        <v>81</v>
      </c>
      <c r="C386" s="33" t="s">
        <v>24</v>
      </c>
      <c r="D386" s="17">
        <v>533020</v>
      </c>
      <c r="E386" s="7">
        <v>667955</v>
      </c>
      <c r="F386" s="17">
        <v>71413</v>
      </c>
      <c r="G386" s="17">
        <v>74</v>
      </c>
      <c r="H386" s="17">
        <v>64394</v>
      </c>
      <c r="I386" s="17">
        <v>22644</v>
      </c>
      <c r="J386" s="17">
        <v>30577</v>
      </c>
      <c r="K386" s="6">
        <v>2022</v>
      </c>
      <c r="L386" s="12">
        <f t="shared" si="5"/>
        <v>200940.5</v>
      </c>
    </row>
    <row r="387" spans="1:12" x14ac:dyDescent="0.3">
      <c r="A387" s="31">
        <v>87</v>
      </c>
      <c r="B387" s="33" t="s">
        <v>93</v>
      </c>
      <c r="C387" s="33" t="s">
        <v>39</v>
      </c>
      <c r="D387" s="17">
        <v>523960</v>
      </c>
      <c r="E387" s="7">
        <v>625498</v>
      </c>
      <c r="F387" s="17">
        <v>66891</v>
      </c>
      <c r="G387" s="17">
        <v>72</v>
      </c>
      <c r="H387" s="17">
        <v>83815</v>
      </c>
      <c r="I387" s="17">
        <v>100000</v>
      </c>
      <c r="J387" s="17">
        <v>8059</v>
      </c>
      <c r="K387" s="6">
        <v>2022</v>
      </c>
      <c r="L387" s="12">
        <f t="shared" ref="L387:L450" si="6">AVERAGE(E387,F387,H387,)</f>
        <v>194051</v>
      </c>
    </row>
    <row r="388" spans="1:12" x14ac:dyDescent="0.3">
      <c r="A388" s="31">
        <v>88</v>
      </c>
      <c r="B388" s="33" t="s">
        <v>171</v>
      </c>
      <c r="C388" s="33" t="s">
        <v>90</v>
      </c>
      <c r="D388" s="17">
        <v>523460</v>
      </c>
      <c r="E388" s="7">
        <v>495177</v>
      </c>
      <c r="F388" s="17">
        <v>33518</v>
      </c>
      <c r="G388" s="17">
        <v>66</v>
      </c>
      <c r="H388" s="17">
        <v>60954</v>
      </c>
      <c r="I388" s="17">
        <v>31823</v>
      </c>
      <c r="J388" s="17">
        <v>21080</v>
      </c>
      <c r="K388" s="6">
        <v>2022</v>
      </c>
      <c r="L388" s="12">
        <f t="shared" si="6"/>
        <v>147412.25</v>
      </c>
    </row>
    <row r="389" spans="1:12" x14ac:dyDescent="0.3">
      <c r="A389" s="31">
        <v>89</v>
      </c>
      <c r="B389" s="33" t="s">
        <v>191</v>
      </c>
      <c r="C389" s="33" t="s">
        <v>47</v>
      </c>
      <c r="D389" s="17">
        <v>519900</v>
      </c>
      <c r="E389" s="7">
        <v>681012</v>
      </c>
      <c r="F389" s="17">
        <v>65355</v>
      </c>
      <c r="G389" s="17">
        <v>75</v>
      </c>
      <c r="H389" s="17">
        <v>65875</v>
      </c>
      <c r="I389" s="17">
        <v>45974</v>
      </c>
      <c r="J389" s="17">
        <v>5283</v>
      </c>
      <c r="K389" s="6">
        <v>2022</v>
      </c>
      <c r="L389" s="12">
        <f t="shared" si="6"/>
        <v>203060.5</v>
      </c>
    </row>
    <row r="390" spans="1:12" x14ac:dyDescent="0.3">
      <c r="A390" s="31">
        <v>90</v>
      </c>
      <c r="B390" s="33" t="s">
        <v>115</v>
      </c>
      <c r="C390" s="33" t="s">
        <v>47</v>
      </c>
      <c r="D390" s="17">
        <v>519880</v>
      </c>
      <c r="E390" s="7">
        <v>651098</v>
      </c>
      <c r="F390" s="17">
        <v>48923</v>
      </c>
      <c r="G390" s="17">
        <v>78</v>
      </c>
      <c r="H390" s="17">
        <v>69039</v>
      </c>
      <c r="I390" s="17">
        <v>29574</v>
      </c>
      <c r="J390" s="17">
        <v>4836</v>
      </c>
      <c r="K390" s="6">
        <v>2022</v>
      </c>
      <c r="L390" s="12">
        <f t="shared" si="6"/>
        <v>192265</v>
      </c>
    </row>
    <row r="391" spans="1:12" x14ac:dyDescent="0.3">
      <c r="A391" s="31">
        <v>91</v>
      </c>
      <c r="B391" s="33" t="s">
        <v>133</v>
      </c>
      <c r="C391" s="33" t="s">
        <v>90</v>
      </c>
      <c r="D391" s="17">
        <v>519390</v>
      </c>
      <c r="E391" s="7">
        <v>644950</v>
      </c>
      <c r="F391" s="17">
        <v>82447</v>
      </c>
      <c r="G391" s="17">
        <v>67</v>
      </c>
      <c r="H391" s="17">
        <v>59743</v>
      </c>
      <c r="I391" s="17">
        <v>18991</v>
      </c>
      <c r="J391" s="17">
        <v>7846</v>
      </c>
      <c r="K391" s="6">
        <v>2022</v>
      </c>
      <c r="L391" s="12">
        <f t="shared" si="6"/>
        <v>196785</v>
      </c>
    </row>
    <row r="392" spans="1:12" x14ac:dyDescent="0.3">
      <c r="A392" s="31">
        <v>92</v>
      </c>
      <c r="B392" s="33" t="s">
        <v>100</v>
      </c>
      <c r="C392" s="33" t="s">
        <v>62</v>
      </c>
      <c r="D392" s="17">
        <v>517340</v>
      </c>
      <c r="E392" s="7">
        <v>659900</v>
      </c>
      <c r="F392" s="17">
        <v>82811</v>
      </c>
      <c r="G392" s="17">
        <v>73</v>
      </c>
      <c r="H392" s="17">
        <v>81198</v>
      </c>
      <c r="I392" s="17">
        <v>5007</v>
      </c>
      <c r="J392" s="17">
        <v>58051</v>
      </c>
      <c r="K392" s="6">
        <v>2022</v>
      </c>
      <c r="L392" s="12">
        <f t="shared" si="6"/>
        <v>205977.25</v>
      </c>
    </row>
    <row r="393" spans="1:12" x14ac:dyDescent="0.3">
      <c r="A393" s="31">
        <v>93</v>
      </c>
      <c r="B393" s="33" t="s">
        <v>189</v>
      </c>
      <c r="C393" s="33" t="s">
        <v>90</v>
      </c>
      <c r="D393" s="17">
        <v>516360</v>
      </c>
      <c r="E393" s="7">
        <v>355224</v>
      </c>
      <c r="F393" s="17">
        <v>47015</v>
      </c>
      <c r="G393" s="17">
        <v>67</v>
      </c>
      <c r="H393" s="17">
        <v>49644</v>
      </c>
      <c r="I393" s="17">
        <v>82926</v>
      </c>
      <c r="J393" s="17">
        <v>17472</v>
      </c>
      <c r="K393" s="6">
        <v>2022</v>
      </c>
      <c r="L393" s="12">
        <f t="shared" si="6"/>
        <v>112970.75</v>
      </c>
    </row>
    <row r="394" spans="1:12" x14ac:dyDescent="0.3">
      <c r="A394" s="31">
        <v>94</v>
      </c>
      <c r="B394" s="33" t="s">
        <v>129</v>
      </c>
      <c r="C394" s="33" t="s">
        <v>99</v>
      </c>
      <c r="D394" s="17">
        <v>515550</v>
      </c>
      <c r="E394" s="7">
        <v>479885</v>
      </c>
      <c r="F394" s="17">
        <v>46496</v>
      </c>
      <c r="G394" s="17">
        <v>74</v>
      </c>
      <c r="H394" s="17">
        <v>84087</v>
      </c>
      <c r="I394" s="17">
        <v>26700</v>
      </c>
      <c r="J394" s="17">
        <v>31816</v>
      </c>
      <c r="K394" s="6">
        <v>2022</v>
      </c>
      <c r="L394" s="12">
        <f t="shared" si="6"/>
        <v>152617</v>
      </c>
    </row>
    <row r="395" spans="1:12" x14ac:dyDescent="0.3">
      <c r="A395" s="31">
        <v>95</v>
      </c>
      <c r="B395" s="33" t="s">
        <v>119</v>
      </c>
      <c r="C395" s="33" t="s">
        <v>55</v>
      </c>
      <c r="D395" s="17">
        <v>514030</v>
      </c>
      <c r="E395" s="7">
        <v>560693</v>
      </c>
      <c r="F395" s="17">
        <v>49568</v>
      </c>
      <c r="G395" s="17">
        <v>71</v>
      </c>
      <c r="H395" s="17">
        <v>91760</v>
      </c>
      <c r="I395" s="17">
        <v>42001</v>
      </c>
      <c r="J395" s="17">
        <v>31355</v>
      </c>
      <c r="K395" s="6">
        <v>2022</v>
      </c>
      <c r="L395" s="12">
        <f t="shared" si="6"/>
        <v>175505.25</v>
      </c>
    </row>
    <row r="396" spans="1:12" x14ac:dyDescent="0.3">
      <c r="A396" s="31">
        <v>96</v>
      </c>
      <c r="B396" s="33" t="s">
        <v>86</v>
      </c>
      <c r="C396" s="33" t="s">
        <v>24</v>
      </c>
      <c r="D396" s="17">
        <v>512230</v>
      </c>
      <c r="E396" s="7">
        <v>616812</v>
      </c>
      <c r="F396" s="17">
        <v>73461</v>
      </c>
      <c r="G396" s="17">
        <v>76</v>
      </c>
      <c r="H396" s="17">
        <v>19727</v>
      </c>
      <c r="I396" s="17">
        <v>22752</v>
      </c>
      <c r="J396" s="17">
        <v>25535</v>
      </c>
      <c r="K396" s="6">
        <v>2022</v>
      </c>
      <c r="L396" s="12">
        <f t="shared" si="6"/>
        <v>177500</v>
      </c>
    </row>
    <row r="397" spans="1:12" x14ac:dyDescent="0.3">
      <c r="A397" s="31">
        <v>97</v>
      </c>
      <c r="B397" s="33" t="s">
        <v>136</v>
      </c>
      <c r="C397" s="33" t="s">
        <v>90</v>
      </c>
      <c r="D397" s="17">
        <v>512150</v>
      </c>
      <c r="E397" s="7">
        <v>287687</v>
      </c>
      <c r="F397" s="17">
        <v>50761</v>
      </c>
      <c r="G397" s="17">
        <v>65</v>
      </c>
      <c r="H397" s="17">
        <v>54778</v>
      </c>
      <c r="I397" s="17">
        <v>38012</v>
      </c>
      <c r="J397" s="17">
        <v>13557</v>
      </c>
      <c r="K397" s="6">
        <v>2022</v>
      </c>
      <c r="L397" s="12">
        <f t="shared" si="6"/>
        <v>98306.5</v>
      </c>
    </row>
    <row r="398" spans="1:12" x14ac:dyDescent="0.3">
      <c r="A398" s="31">
        <v>98</v>
      </c>
      <c r="B398" s="33" t="s">
        <v>131</v>
      </c>
      <c r="C398" s="33" t="s">
        <v>62</v>
      </c>
      <c r="D398" s="17">
        <v>508410</v>
      </c>
      <c r="E398" s="7">
        <v>638770</v>
      </c>
      <c r="F398" s="17">
        <v>81866</v>
      </c>
      <c r="G398" s="17">
        <v>74</v>
      </c>
      <c r="H398" s="17">
        <v>63917</v>
      </c>
      <c r="I398" s="17">
        <v>40253</v>
      </c>
      <c r="J398" s="17">
        <v>2865</v>
      </c>
      <c r="K398" s="6">
        <v>2022</v>
      </c>
      <c r="L398" s="12">
        <f t="shared" si="6"/>
        <v>196138.25</v>
      </c>
    </row>
    <row r="399" spans="1:12" x14ac:dyDescent="0.3">
      <c r="A399" s="31">
        <v>99</v>
      </c>
      <c r="B399" s="33" t="s">
        <v>192</v>
      </c>
      <c r="C399" s="33" t="s">
        <v>90</v>
      </c>
      <c r="D399" s="17">
        <v>507520</v>
      </c>
      <c r="E399" s="7">
        <v>430155</v>
      </c>
      <c r="F399" s="17">
        <v>30696</v>
      </c>
      <c r="G399" s="17">
        <v>67</v>
      </c>
      <c r="H399" s="17">
        <v>58221</v>
      </c>
      <c r="I399" s="17">
        <v>27791</v>
      </c>
      <c r="J399" s="17">
        <v>24819</v>
      </c>
      <c r="K399" s="6">
        <v>2022</v>
      </c>
      <c r="L399" s="12">
        <f t="shared" si="6"/>
        <v>129768</v>
      </c>
    </row>
    <row r="400" spans="1:12" x14ac:dyDescent="0.3">
      <c r="A400" s="31">
        <v>100</v>
      </c>
      <c r="B400" s="33" t="s">
        <v>112</v>
      </c>
      <c r="C400" s="33" t="s">
        <v>24</v>
      </c>
      <c r="D400" s="17">
        <v>505990</v>
      </c>
      <c r="E400" s="7">
        <v>546755</v>
      </c>
      <c r="F400" s="17">
        <v>20288</v>
      </c>
      <c r="G400" s="17">
        <v>73</v>
      </c>
      <c r="H400" s="17">
        <v>66525</v>
      </c>
      <c r="I400" s="17">
        <v>4310</v>
      </c>
      <c r="J400" s="17">
        <v>17332</v>
      </c>
      <c r="K400" s="6">
        <v>2022</v>
      </c>
      <c r="L400" s="12">
        <f t="shared" si="6"/>
        <v>158392</v>
      </c>
    </row>
    <row r="401" spans="1:12" x14ac:dyDescent="0.3">
      <c r="A401" s="31">
        <v>101</v>
      </c>
      <c r="B401" s="33" t="s">
        <v>114</v>
      </c>
      <c r="C401" s="33" t="s">
        <v>90</v>
      </c>
      <c r="D401" s="17">
        <v>504830</v>
      </c>
      <c r="E401" s="7">
        <v>261740</v>
      </c>
      <c r="F401" s="17">
        <v>49979</v>
      </c>
      <c r="G401" s="17">
        <v>62</v>
      </c>
      <c r="H401" s="17">
        <v>80130</v>
      </c>
      <c r="I401" s="17">
        <v>39563</v>
      </c>
      <c r="J401" s="17">
        <v>34028</v>
      </c>
      <c r="K401" s="6">
        <v>2022</v>
      </c>
      <c r="L401" s="12">
        <f t="shared" si="6"/>
        <v>97962.25</v>
      </c>
    </row>
    <row r="402" spans="1:12" x14ac:dyDescent="0.3">
      <c r="A402" s="31">
        <v>102</v>
      </c>
      <c r="B402" s="33" t="s">
        <v>153</v>
      </c>
      <c r="C402" s="33" t="s">
        <v>90</v>
      </c>
      <c r="D402" s="17">
        <v>504760</v>
      </c>
      <c r="E402" s="7">
        <v>438139</v>
      </c>
      <c r="F402" s="17">
        <v>50890</v>
      </c>
      <c r="G402" s="17">
        <v>66</v>
      </c>
      <c r="H402" s="17">
        <v>53663</v>
      </c>
      <c r="I402" s="17">
        <v>32437</v>
      </c>
      <c r="J402" s="17">
        <v>12537</v>
      </c>
      <c r="K402" s="6">
        <v>2022</v>
      </c>
      <c r="L402" s="12">
        <f t="shared" si="6"/>
        <v>135673</v>
      </c>
    </row>
    <row r="403" spans="1:12" x14ac:dyDescent="0.3">
      <c r="A403" s="31">
        <v>103</v>
      </c>
      <c r="B403" s="33" t="s">
        <v>162</v>
      </c>
      <c r="C403" s="33" t="s">
        <v>90</v>
      </c>
      <c r="D403" s="17">
        <v>504610</v>
      </c>
      <c r="E403" s="7">
        <v>422160</v>
      </c>
      <c r="F403" s="17">
        <v>40137</v>
      </c>
      <c r="G403" s="17">
        <v>70</v>
      </c>
      <c r="H403" s="17">
        <v>66712</v>
      </c>
      <c r="I403" s="17">
        <v>30647</v>
      </c>
      <c r="J403" s="17">
        <v>13746</v>
      </c>
      <c r="K403" s="6">
        <v>2022</v>
      </c>
      <c r="L403" s="12">
        <f t="shared" si="6"/>
        <v>132252.25</v>
      </c>
    </row>
    <row r="404" spans="1:12" x14ac:dyDescent="0.3">
      <c r="A404" s="31">
        <v>104</v>
      </c>
      <c r="B404" s="33" t="s">
        <v>164</v>
      </c>
      <c r="C404" s="33" t="s">
        <v>90</v>
      </c>
      <c r="D404" s="17">
        <v>500350</v>
      </c>
      <c r="E404" s="7">
        <v>257932</v>
      </c>
      <c r="F404" s="17">
        <v>42432</v>
      </c>
      <c r="G404" s="17">
        <v>66</v>
      </c>
      <c r="H404" s="17">
        <v>77202</v>
      </c>
      <c r="I404" s="17">
        <v>35183</v>
      </c>
      <c r="J404" s="17">
        <v>24677</v>
      </c>
      <c r="K404" s="6">
        <v>2022</v>
      </c>
      <c r="L404" s="12">
        <f t="shared" si="6"/>
        <v>94391.5</v>
      </c>
    </row>
    <row r="405" spans="1:12" x14ac:dyDescent="0.3">
      <c r="A405" s="31">
        <v>105</v>
      </c>
      <c r="B405" s="33" t="s">
        <v>150</v>
      </c>
      <c r="C405" s="33" t="s">
        <v>62</v>
      </c>
      <c r="D405" s="17">
        <v>497320</v>
      </c>
      <c r="E405" s="7">
        <v>664092</v>
      </c>
      <c r="F405" s="17">
        <v>46345</v>
      </c>
      <c r="G405" s="17">
        <v>74</v>
      </c>
      <c r="H405" s="17">
        <v>68636</v>
      </c>
      <c r="I405" s="17">
        <v>0</v>
      </c>
      <c r="J405" s="17">
        <v>35489</v>
      </c>
      <c r="K405" s="6">
        <v>2022</v>
      </c>
      <c r="L405" s="12">
        <f t="shared" si="6"/>
        <v>194768.25</v>
      </c>
    </row>
    <row r="406" spans="1:12" x14ac:dyDescent="0.3">
      <c r="A406" s="31">
        <v>106</v>
      </c>
      <c r="B406" s="33" t="s">
        <v>163</v>
      </c>
      <c r="C406" s="33" t="s">
        <v>90</v>
      </c>
      <c r="D406" s="17">
        <v>495830</v>
      </c>
      <c r="E406" s="7">
        <v>660452</v>
      </c>
      <c r="F406" s="17">
        <v>55890</v>
      </c>
      <c r="G406" s="17">
        <v>68</v>
      </c>
      <c r="H406" s="17">
        <v>46375</v>
      </c>
      <c r="I406" s="17">
        <v>6897</v>
      </c>
      <c r="J406" s="17">
        <v>16805</v>
      </c>
      <c r="K406" s="6">
        <v>2022</v>
      </c>
      <c r="L406" s="12">
        <f t="shared" si="6"/>
        <v>190679.25</v>
      </c>
    </row>
    <row r="407" spans="1:12" x14ac:dyDescent="0.3">
      <c r="A407" s="31">
        <v>107</v>
      </c>
      <c r="B407" s="33" t="s">
        <v>132</v>
      </c>
      <c r="C407" s="33" t="s">
        <v>24</v>
      </c>
      <c r="D407" s="17">
        <v>494090</v>
      </c>
      <c r="E407" s="7">
        <v>583318</v>
      </c>
      <c r="F407" s="17">
        <v>51697</v>
      </c>
      <c r="G407" s="17">
        <v>73</v>
      </c>
      <c r="H407" s="17">
        <v>44382</v>
      </c>
      <c r="I407" s="17">
        <v>31357</v>
      </c>
      <c r="J407" s="17">
        <v>7829</v>
      </c>
      <c r="K407" s="6">
        <v>2022</v>
      </c>
      <c r="L407" s="12">
        <f t="shared" si="6"/>
        <v>169849.25</v>
      </c>
    </row>
    <row r="408" spans="1:12" x14ac:dyDescent="0.3">
      <c r="A408" s="31">
        <v>108</v>
      </c>
      <c r="B408" s="33" t="s">
        <v>37</v>
      </c>
      <c r="C408" s="33" t="s">
        <v>26</v>
      </c>
      <c r="D408" s="17">
        <v>492550</v>
      </c>
      <c r="E408" s="7">
        <v>0</v>
      </c>
      <c r="F408" s="17">
        <v>73330</v>
      </c>
      <c r="G408" s="17">
        <v>74</v>
      </c>
      <c r="H408" s="17">
        <v>38197</v>
      </c>
      <c r="I408" s="17">
        <v>48141</v>
      </c>
      <c r="J408" s="17">
        <v>13911</v>
      </c>
      <c r="K408" s="6">
        <v>2022</v>
      </c>
      <c r="L408" s="12">
        <f t="shared" si="6"/>
        <v>27881.75</v>
      </c>
    </row>
    <row r="409" spans="1:12" x14ac:dyDescent="0.3">
      <c r="A409" s="31">
        <v>109</v>
      </c>
      <c r="B409" s="33" t="s">
        <v>170</v>
      </c>
      <c r="C409" s="33" t="s">
        <v>90</v>
      </c>
      <c r="D409" s="17">
        <v>489050</v>
      </c>
      <c r="E409" s="7">
        <v>383884</v>
      </c>
      <c r="F409" s="17">
        <v>42911</v>
      </c>
      <c r="G409" s="17">
        <v>64</v>
      </c>
      <c r="H409" s="17">
        <v>45107</v>
      </c>
      <c r="I409" s="17">
        <v>45685</v>
      </c>
      <c r="J409" s="17">
        <v>19699</v>
      </c>
      <c r="K409" s="6">
        <v>2022</v>
      </c>
      <c r="L409" s="12">
        <f t="shared" si="6"/>
        <v>117975.5</v>
      </c>
    </row>
    <row r="410" spans="1:12" x14ac:dyDescent="0.3">
      <c r="A410" s="31">
        <v>110</v>
      </c>
      <c r="B410" s="33" t="s">
        <v>130</v>
      </c>
      <c r="C410" s="33" t="s">
        <v>24</v>
      </c>
      <c r="D410" s="17">
        <v>488790</v>
      </c>
      <c r="E410" s="7">
        <v>638063</v>
      </c>
      <c r="F410" s="17">
        <v>56114</v>
      </c>
      <c r="G410" s="17">
        <v>76</v>
      </c>
      <c r="H410" s="17">
        <v>38018</v>
      </c>
      <c r="I410" s="17">
        <v>51501</v>
      </c>
      <c r="J410" s="17">
        <v>24950</v>
      </c>
      <c r="K410" s="6">
        <v>2022</v>
      </c>
      <c r="L410" s="12">
        <f t="shared" si="6"/>
        <v>183048.75</v>
      </c>
    </row>
    <row r="411" spans="1:12" x14ac:dyDescent="0.3">
      <c r="A411" s="31">
        <v>111</v>
      </c>
      <c r="B411" s="33" t="s">
        <v>134</v>
      </c>
      <c r="C411" s="33" t="s">
        <v>90</v>
      </c>
      <c r="D411" s="17">
        <v>487200</v>
      </c>
      <c r="E411" s="7">
        <v>503084</v>
      </c>
      <c r="F411" s="17">
        <v>45075</v>
      </c>
      <c r="G411" s="17">
        <v>68</v>
      </c>
      <c r="H411" s="17">
        <v>67498</v>
      </c>
      <c r="I411" s="17">
        <v>49054</v>
      </c>
      <c r="J411" s="17">
        <v>9471</v>
      </c>
      <c r="K411" s="6">
        <v>2022</v>
      </c>
      <c r="L411" s="12">
        <f t="shared" si="6"/>
        <v>153914.25</v>
      </c>
    </row>
    <row r="412" spans="1:12" x14ac:dyDescent="0.3">
      <c r="A412" s="31">
        <v>112</v>
      </c>
      <c r="B412" s="33" t="s">
        <v>95</v>
      </c>
      <c r="C412" s="33" t="s">
        <v>24</v>
      </c>
      <c r="D412" s="17">
        <v>474420</v>
      </c>
      <c r="E412" s="7">
        <v>772532</v>
      </c>
      <c r="F412" s="17">
        <v>65551</v>
      </c>
      <c r="G412" s="17">
        <v>77</v>
      </c>
      <c r="H412" s="17">
        <v>28250</v>
      </c>
      <c r="I412" s="17">
        <v>18641</v>
      </c>
      <c r="J412" s="17">
        <v>19590</v>
      </c>
      <c r="K412" s="6">
        <v>2022</v>
      </c>
      <c r="L412" s="12">
        <f t="shared" si="6"/>
        <v>216583.25</v>
      </c>
    </row>
    <row r="413" spans="1:12" x14ac:dyDescent="0.3">
      <c r="A413" s="31">
        <v>113</v>
      </c>
      <c r="B413" s="33" t="s">
        <v>172</v>
      </c>
      <c r="C413" s="33" t="s">
        <v>90</v>
      </c>
      <c r="D413" s="17">
        <v>467050</v>
      </c>
      <c r="E413" s="7">
        <v>352631</v>
      </c>
      <c r="F413" s="17">
        <v>42800</v>
      </c>
      <c r="G413" s="17">
        <v>66</v>
      </c>
      <c r="H413" s="17">
        <v>51635</v>
      </c>
      <c r="I413" s="17">
        <v>39847</v>
      </c>
      <c r="J413" s="17">
        <v>21393</v>
      </c>
      <c r="K413" s="6">
        <v>2022</v>
      </c>
      <c r="L413" s="12">
        <f t="shared" si="6"/>
        <v>111766.5</v>
      </c>
    </row>
    <row r="414" spans="1:12" x14ac:dyDescent="0.3">
      <c r="A414" s="31">
        <v>114</v>
      </c>
      <c r="B414" s="33" t="s">
        <v>165</v>
      </c>
      <c r="C414" s="33" t="s">
        <v>39</v>
      </c>
      <c r="D414" s="17">
        <v>464030</v>
      </c>
      <c r="E414" s="7">
        <v>461278</v>
      </c>
      <c r="F414" s="17">
        <v>55466</v>
      </c>
      <c r="G414" s="17">
        <v>71</v>
      </c>
      <c r="H414" s="17">
        <v>100000</v>
      </c>
      <c r="I414" s="17">
        <v>35465</v>
      </c>
      <c r="J414" s="17">
        <v>11574</v>
      </c>
      <c r="K414" s="6">
        <v>2022</v>
      </c>
      <c r="L414" s="12">
        <f t="shared" si="6"/>
        <v>154186</v>
      </c>
    </row>
    <row r="415" spans="1:12" x14ac:dyDescent="0.3">
      <c r="A415" s="31">
        <v>115</v>
      </c>
      <c r="B415" s="33" t="s">
        <v>175</v>
      </c>
      <c r="C415" s="33" t="s">
        <v>90</v>
      </c>
      <c r="D415" s="17">
        <v>462320</v>
      </c>
      <c r="E415" s="7">
        <v>421715</v>
      </c>
      <c r="F415" s="17">
        <v>4829</v>
      </c>
      <c r="G415" s="17">
        <v>66</v>
      </c>
      <c r="H415" s="17">
        <v>64703</v>
      </c>
      <c r="I415" s="17">
        <v>27082</v>
      </c>
      <c r="J415" s="17">
        <v>39135</v>
      </c>
      <c r="K415" s="6">
        <v>2022</v>
      </c>
      <c r="L415" s="12">
        <f t="shared" si="6"/>
        <v>122811.75</v>
      </c>
    </row>
    <row r="416" spans="1:12" x14ac:dyDescent="0.3">
      <c r="A416" s="31">
        <v>116</v>
      </c>
      <c r="B416" s="33" t="s">
        <v>160</v>
      </c>
      <c r="C416" s="33" t="s">
        <v>90</v>
      </c>
      <c r="D416" s="17">
        <v>460860</v>
      </c>
      <c r="E416" s="7">
        <v>407074</v>
      </c>
      <c r="F416" s="17">
        <v>36074</v>
      </c>
      <c r="G416" s="17">
        <v>69</v>
      </c>
      <c r="H416" s="17">
        <v>25040</v>
      </c>
      <c r="I416" s="17">
        <v>41567</v>
      </c>
      <c r="J416" s="17">
        <v>21357</v>
      </c>
      <c r="K416" s="6">
        <v>2022</v>
      </c>
      <c r="L416" s="12">
        <f t="shared" si="6"/>
        <v>117047</v>
      </c>
    </row>
    <row r="417" spans="1:12" x14ac:dyDescent="0.3">
      <c r="A417" s="31">
        <v>117</v>
      </c>
      <c r="B417" s="33" t="s">
        <v>161</v>
      </c>
      <c r="C417" s="33" t="s">
        <v>90</v>
      </c>
      <c r="D417" s="17">
        <v>460260</v>
      </c>
      <c r="E417" s="7">
        <v>351766</v>
      </c>
      <c r="F417" s="17">
        <v>66312</v>
      </c>
      <c r="G417" s="17">
        <v>69</v>
      </c>
      <c r="H417" s="17">
        <v>54361</v>
      </c>
      <c r="I417" s="17">
        <v>47437</v>
      </c>
      <c r="J417" s="17">
        <v>11295</v>
      </c>
      <c r="K417" s="6">
        <v>2022</v>
      </c>
      <c r="L417" s="12">
        <f t="shared" si="6"/>
        <v>118109.75</v>
      </c>
    </row>
    <row r="418" spans="1:12" x14ac:dyDescent="0.3">
      <c r="A418" s="31">
        <v>118</v>
      </c>
      <c r="B418" s="33" t="s">
        <v>97</v>
      </c>
      <c r="C418" s="33" t="s">
        <v>90</v>
      </c>
      <c r="D418" s="17">
        <v>455200</v>
      </c>
      <c r="E418" s="7">
        <v>488582</v>
      </c>
      <c r="F418" s="17">
        <v>55470</v>
      </c>
      <c r="G418" s="17">
        <v>65</v>
      </c>
      <c r="H418" s="17">
        <v>60046</v>
      </c>
      <c r="I418" s="17">
        <v>37306</v>
      </c>
      <c r="J418" s="17">
        <v>6395</v>
      </c>
      <c r="K418" s="6">
        <v>2022</v>
      </c>
      <c r="L418" s="12">
        <f t="shared" si="6"/>
        <v>151024.5</v>
      </c>
    </row>
    <row r="419" spans="1:12" x14ac:dyDescent="0.3">
      <c r="A419" s="31">
        <v>119</v>
      </c>
      <c r="B419" s="33" t="s">
        <v>145</v>
      </c>
      <c r="C419" s="33" t="s">
        <v>90</v>
      </c>
      <c r="D419" s="17">
        <v>454300</v>
      </c>
      <c r="E419" s="7">
        <v>466892</v>
      </c>
      <c r="F419" s="17">
        <v>45842</v>
      </c>
      <c r="G419" s="17">
        <v>68</v>
      </c>
      <c r="H419" s="17">
        <v>59452</v>
      </c>
      <c r="I419" s="17">
        <v>68762</v>
      </c>
      <c r="J419" s="17">
        <v>13999</v>
      </c>
      <c r="K419" s="6">
        <v>2022</v>
      </c>
      <c r="L419" s="12">
        <f t="shared" si="6"/>
        <v>143046.5</v>
      </c>
    </row>
    <row r="420" spans="1:12" x14ac:dyDescent="0.3">
      <c r="A420" s="31">
        <v>120</v>
      </c>
      <c r="B420" s="33" t="s">
        <v>127</v>
      </c>
      <c r="C420" s="33" t="s">
        <v>24</v>
      </c>
      <c r="D420" s="17">
        <v>451600</v>
      </c>
      <c r="E420" s="7">
        <v>610961</v>
      </c>
      <c r="F420" s="17">
        <v>45179</v>
      </c>
      <c r="G420" s="17">
        <v>76</v>
      </c>
      <c r="H420" s="17">
        <v>42687</v>
      </c>
      <c r="I420" s="17">
        <v>6175</v>
      </c>
      <c r="J420" s="17">
        <v>4965</v>
      </c>
      <c r="K420" s="6">
        <v>2022</v>
      </c>
      <c r="L420" s="12">
        <f t="shared" si="6"/>
        <v>174706.75</v>
      </c>
    </row>
    <row r="421" spans="1:12" x14ac:dyDescent="0.3">
      <c r="A421" s="31">
        <v>121</v>
      </c>
      <c r="B421" s="33" t="s">
        <v>101</v>
      </c>
      <c r="C421" s="33" t="s">
        <v>99</v>
      </c>
      <c r="D421" s="17">
        <v>451580</v>
      </c>
      <c r="E421" s="7">
        <v>474669</v>
      </c>
      <c r="F421" s="17">
        <v>31258</v>
      </c>
      <c r="G421" s="17">
        <v>67</v>
      </c>
      <c r="H421" s="17">
        <v>60506</v>
      </c>
      <c r="I421" s="17">
        <v>38691</v>
      </c>
      <c r="J421" s="17">
        <v>19033</v>
      </c>
      <c r="K421" s="6">
        <v>2022</v>
      </c>
      <c r="L421" s="12">
        <f t="shared" si="6"/>
        <v>141608.25</v>
      </c>
    </row>
    <row r="422" spans="1:12" x14ac:dyDescent="0.3">
      <c r="A422" s="31">
        <v>122</v>
      </c>
      <c r="B422" s="33" t="s">
        <v>128</v>
      </c>
      <c r="C422" s="33" t="s">
        <v>24</v>
      </c>
      <c r="D422" s="17">
        <v>448250</v>
      </c>
      <c r="E422" s="7">
        <v>519565</v>
      </c>
      <c r="F422" s="17">
        <v>72522</v>
      </c>
      <c r="G422" s="17">
        <v>72</v>
      </c>
      <c r="H422" s="17">
        <v>45454</v>
      </c>
      <c r="I422" s="17">
        <v>15634</v>
      </c>
      <c r="J422" s="17">
        <v>13538</v>
      </c>
      <c r="K422" s="6">
        <v>2022</v>
      </c>
      <c r="L422" s="12">
        <f t="shared" si="6"/>
        <v>159385.25</v>
      </c>
    </row>
    <row r="423" spans="1:12" x14ac:dyDescent="0.3">
      <c r="A423" s="31">
        <v>123</v>
      </c>
      <c r="B423" s="33" t="s">
        <v>158</v>
      </c>
      <c r="C423" s="33" t="s">
        <v>90</v>
      </c>
      <c r="D423" s="17">
        <v>447900</v>
      </c>
      <c r="E423" s="7">
        <v>358285</v>
      </c>
      <c r="F423" s="17">
        <v>36603</v>
      </c>
      <c r="G423" s="17">
        <v>65</v>
      </c>
      <c r="H423" s="17">
        <v>47266</v>
      </c>
      <c r="I423" s="17">
        <v>27444</v>
      </c>
      <c r="J423" s="17">
        <v>7204</v>
      </c>
      <c r="K423" s="6">
        <v>2022</v>
      </c>
      <c r="L423" s="12">
        <f t="shared" si="6"/>
        <v>110538.5</v>
      </c>
    </row>
    <row r="424" spans="1:12" x14ac:dyDescent="0.3">
      <c r="A424" s="31">
        <v>124</v>
      </c>
      <c r="B424" s="33" t="s">
        <v>181</v>
      </c>
      <c r="C424" s="33" t="s">
        <v>90</v>
      </c>
      <c r="D424" s="17">
        <v>445940</v>
      </c>
      <c r="E424" s="7">
        <v>584951</v>
      </c>
      <c r="F424" s="17">
        <v>66457</v>
      </c>
      <c r="G424" s="17">
        <v>67</v>
      </c>
      <c r="H424" s="17">
        <v>51878</v>
      </c>
      <c r="I424" s="17">
        <v>14257</v>
      </c>
      <c r="J424" s="17">
        <v>12072</v>
      </c>
      <c r="K424" s="6">
        <v>2022</v>
      </c>
      <c r="L424" s="12">
        <f t="shared" si="6"/>
        <v>175821.5</v>
      </c>
    </row>
    <row r="425" spans="1:12" x14ac:dyDescent="0.3">
      <c r="A425" s="31">
        <v>125</v>
      </c>
      <c r="B425" s="33" t="s">
        <v>194</v>
      </c>
      <c r="C425" s="33" t="s">
        <v>90</v>
      </c>
      <c r="D425" s="17">
        <v>439610</v>
      </c>
      <c r="E425" s="7">
        <v>576459</v>
      </c>
      <c r="F425" s="17">
        <v>59569</v>
      </c>
      <c r="G425" s="17">
        <v>62</v>
      </c>
      <c r="H425" s="17">
        <v>35032</v>
      </c>
      <c r="I425" s="17">
        <v>8044</v>
      </c>
      <c r="J425" s="17">
        <v>26259</v>
      </c>
      <c r="K425" s="6">
        <v>2022</v>
      </c>
      <c r="L425" s="12">
        <f t="shared" si="6"/>
        <v>167765</v>
      </c>
    </row>
    <row r="426" spans="1:12" x14ac:dyDescent="0.3">
      <c r="A426" s="31">
        <v>126</v>
      </c>
      <c r="B426" s="33" t="s">
        <v>149</v>
      </c>
      <c r="C426" s="33" t="s">
        <v>39</v>
      </c>
      <c r="D426" s="17">
        <v>439420</v>
      </c>
      <c r="E426" s="7">
        <v>470037</v>
      </c>
      <c r="F426" s="17">
        <v>62808</v>
      </c>
      <c r="G426" s="17">
        <v>71</v>
      </c>
      <c r="H426" s="17">
        <v>69315</v>
      </c>
      <c r="I426" s="17">
        <v>96630</v>
      </c>
      <c r="J426" s="17">
        <v>33024</v>
      </c>
      <c r="K426" s="6">
        <v>2022</v>
      </c>
      <c r="L426" s="12">
        <f t="shared" si="6"/>
        <v>150540</v>
      </c>
    </row>
    <row r="427" spans="1:12" x14ac:dyDescent="0.3">
      <c r="A427" s="31">
        <v>127</v>
      </c>
      <c r="B427" s="33" t="s">
        <v>152</v>
      </c>
      <c r="C427" s="33" t="s">
        <v>99</v>
      </c>
      <c r="D427" s="17">
        <v>436220</v>
      </c>
      <c r="E427" s="7">
        <v>640665</v>
      </c>
      <c r="F427" s="17">
        <v>70733</v>
      </c>
      <c r="G427" s="17">
        <v>76</v>
      </c>
      <c r="H427" s="17">
        <v>71472</v>
      </c>
      <c r="I427" s="17">
        <v>31997</v>
      </c>
      <c r="J427" s="17">
        <v>13388</v>
      </c>
      <c r="K427" s="6">
        <v>2022</v>
      </c>
      <c r="L427" s="12">
        <f t="shared" si="6"/>
        <v>195717.5</v>
      </c>
    </row>
    <row r="428" spans="1:12" x14ac:dyDescent="0.3">
      <c r="A428" s="31">
        <v>128</v>
      </c>
      <c r="B428" s="33" t="s">
        <v>167</v>
      </c>
      <c r="C428" s="33" t="s">
        <v>90</v>
      </c>
      <c r="D428" s="17">
        <v>433910</v>
      </c>
      <c r="E428" s="7">
        <v>303401</v>
      </c>
      <c r="F428" s="17">
        <v>48834</v>
      </c>
      <c r="G428" s="17">
        <v>68</v>
      </c>
      <c r="H428" s="17">
        <v>27303</v>
      </c>
      <c r="I428" s="17">
        <v>30553</v>
      </c>
      <c r="J428" s="17">
        <v>26161</v>
      </c>
      <c r="K428" s="6">
        <v>2022</v>
      </c>
      <c r="L428" s="12">
        <f t="shared" si="6"/>
        <v>94884.5</v>
      </c>
    </row>
    <row r="429" spans="1:12" x14ac:dyDescent="0.3">
      <c r="A429" s="31">
        <v>129</v>
      </c>
      <c r="B429" s="33" t="s">
        <v>155</v>
      </c>
      <c r="C429" s="33" t="s">
        <v>24</v>
      </c>
      <c r="D429" s="17">
        <v>428770</v>
      </c>
      <c r="E429" s="7">
        <v>628287</v>
      </c>
      <c r="F429" s="17">
        <v>55484</v>
      </c>
      <c r="G429" s="17">
        <v>73</v>
      </c>
      <c r="H429" s="17">
        <v>63373</v>
      </c>
      <c r="I429" s="17">
        <v>8688</v>
      </c>
      <c r="J429" s="17">
        <v>43349</v>
      </c>
      <c r="K429" s="6">
        <v>2022</v>
      </c>
      <c r="L429" s="12">
        <f t="shared" si="6"/>
        <v>186786</v>
      </c>
    </row>
    <row r="430" spans="1:12" x14ac:dyDescent="0.3">
      <c r="A430" s="31">
        <v>130</v>
      </c>
      <c r="B430" s="33" t="s">
        <v>169</v>
      </c>
      <c r="C430" s="33" t="s">
        <v>90</v>
      </c>
      <c r="D430" s="17">
        <v>425080</v>
      </c>
      <c r="E430" s="7">
        <v>299429</v>
      </c>
      <c r="F430" s="17">
        <v>38358</v>
      </c>
      <c r="G430" s="17">
        <v>63</v>
      </c>
      <c r="H430" s="17">
        <v>24362</v>
      </c>
      <c r="I430" s="17">
        <v>38808</v>
      </c>
      <c r="J430" s="17">
        <v>13112</v>
      </c>
      <c r="K430" s="6">
        <v>2022</v>
      </c>
      <c r="L430" s="12">
        <f t="shared" si="6"/>
        <v>90537.25</v>
      </c>
    </row>
    <row r="431" spans="1:12" x14ac:dyDescent="0.3">
      <c r="A431" s="31">
        <v>131</v>
      </c>
      <c r="B431" s="33" t="s">
        <v>142</v>
      </c>
      <c r="C431" s="33" t="s">
        <v>90</v>
      </c>
      <c r="D431" s="17">
        <v>424150</v>
      </c>
      <c r="E431" s="7">
        <v>356684</v>
      </c>
      <c r="F431" s="17">
        <v>61291</v>
      </c>
      <c r="G431" s="17">
        <v>70</v>
      </c>
      <c r="H431" s="17">
        <v>63841</v>
      </c>
      <c r="I431" s="17">
        <v>43725</v>
      </c>
      <c r="J431" s="17">
        <v>23146</v>
      </c>
      <c r="K431" s="6">
        <v>2022</v>
      </c>
      <c r="L431" s="12">
        <f t="shared" si="6"/>
        <v>120454</v>
      </c>
    </row>
    <row r="432" spans="1:12" x14ac:dyDescent="0.3">
      <c r="A432" s="31">
        <v>132</v>
      </c>
      <c r="B432" s="33" t="s">
        <v>156</v>
      </c>
      <c r="C432" s="33" t="s">
        <v>24</v>
      </c>
      <c r="D432" s="17">
        <v>419690</v>
      </c>
      <c r="E432" s="7">
        <v>312954</v>
      </c>
      <c r="F432" s="17">
        <v>78989</v>
      </c>
      <c r="G432" s="17">
        <v>68</v>
      </c>
      <c r="H432" s="17">
        <v>44537</v>
      </c>
      <c r="I432" s="17">
        <v>19317</v>
      </c>
      <c r="J432" s="17">
        <v>16680</v>
      </c>
      <c r="K432" s="6">
        <v>2022</v>
      </c>
      <c r="L432" s="12">
        <f t="shared" si="6"/>
        <v>109120</v>
      </c>
    </row>
    <row r="433" spans="1:12" x14ac:dyDescent="0.3">
      <c r="A433" s="31">
        <v>133</v>
      </c>
      <c r="B433" s="33" t="s">
        <v>144</v>
      </c>
      <c r="C433" s="33" t="s">
        <v>24</v>
      </c>
      <c r="D433" s="17">
        <v>415260</v>
      </c>
      <c r="E433" s="7">
        <v>497958</v>
      </c>
      <c r="F433" s="17">
        <v>65526</v>
      </c>
      <c r="G433" s="17">
        <v>70</v>
      </c>
      <c r="H433" s="17">
        <v>41070</v>
      </c>
      <c r="I433" s="17">
        <v>18884</v>
      </c>
      <c r="J433" s="17">
        <v>23596</v>
      </c>
      <c r="K433" s="6">
        <v>2022</v>
      </c>
      <c r="L433" s="12">
        <f t="shared" si="6"/>
        <v>151138.5</v>
      </c>
    </row>
    <row r="434" spans="1:12" x14ac:dyDescent="0.3">
      <c r="A434" s="31">
        <v>134</v>
      </c>
      <c r="B434" s="33" t="s">
        <v>103</v>
      </c>
      <c r="C434" s="33" t="s">
        <v>24</v>
      </c>
      <c r="D434" s="17">
        <v>415210</v>
      </c>
      <c r="E434" s="7">
        <v>599044</v>
      </c>
      <c r="F434" s="17">
        <v>54861</v>
      </c>
      <c r="G434" s="17">
        <v>77</v>
      </c>
      <c r="H434" s="17">
        <v>64298</v>
      </c>
      <c r="I434" s="17">
        <v>12369</v>
      </c>
      <c r="J434" s="17">
        <v>34136</v>
      </c>
      <c r="K434" s="6">
        <v>2022</v>
      </c>
      <c r="L434" s="12">
        <f t="shared" si="6"/>
        <v>179550.75</v>
      </c>
    </row>
    <row r="435" spans="1:12" x14ac:dyDescent="0.3">
      <c r="A435" s="31">
        <v>135</v>
      </c>
      <c r="B435" s="33" t="s">
        <v>178</v>
      </c>
      <c r="C435" s="33" t="s">
        <v>90</v>
      </c>
      <c r="D435" s="17">
        <v>411230</v>
      </c>
      <c r="E435" s="7">
        <v>349012</v>
      </c>
      <c r="F435" s="17">
        <v>24358</v>
      </c>
      <c r="G435" s="17">
        <v>67</v>
      </c>
      <c r="H435" s="17">
        <v>39427</v>
      </c>
      <c r="I435" s="17">
        <v>37273</v>
      </c>
      <c r="J435" s="17">
        <v>22565</v>
      </c>
      <c r="K435" s="6">
        <v>2022</v>
      </c>
      <c r="L435" s="12">
        <f t="shared" si="6"/>
        <v>103199.25</v>
      </c>
    </row>
    <row r="436" spans="1:12" x14ac:dyDescent="0.3">
      <c r="A436" s="31">
        <v>136</v>
      </c>
      <c r="B436" s="33" t="s">
        <v>137</v>
      </c>
      <c r="C436" s="33" t="s">
        <v>99</v>
      </c>
      <c r="D436" s="17">
        <v>377710</v>
      </c>
      <c r="E436" s="7">
        <v>528205</v>
      </c>
      <c r="F436" s="17">
        <v>28451</v>
      </c>
      <c r="G436" s="17">
        <v>70</v>
      </c>
      <c r="H436" s="17">
        <v>87446</v>
      </c>
      <c r="I436" s="17">
        <v>42292</v>
      </c>
      <c r="J436" s="17">
        <v>21014</v>
      </c>
      <c r="K436" s="6">
        <v>2022</v>
      </c>
      <c r="L436" s="12">
        <f t="shared" si="6"/>
        <v>161025.5</v>
      </c>
    </row>
    <row r="437" spans="1:12" x14ac:dyDescent="0.3">
      <c r="A437" s="31">
        <v>137</v>
      </c>
      <c r="B437" s="33" t="s">
        <v>105</v>
      </c>
      <c r="C437" s="33" t="s">
        <v>90</v>
      </c>
      <c r="D437" s="17">
        <v>375980</v>
      </c>
      <c r="E437" s="7">
        <v>421012</v>
      </c>
      <c r="F437" s="17">
        <v>43733</v>
      </c>
      <c r="G437" s="17">
        <v>65</v>
      </c>
      <c r="H437" s="17">
        <v>70982</v>
      </c>
      <c r="I437" s="17">
        <v>43336</v>
      </c>
      <c r="J437" s="17">
        <v>14128</v>
      </c>
      <c r="K437" s="6">
        <v>2022</v>
      </c>
      <c r="L437" s="12">
        <f t="shared" si="6"/>
        <v>133931.75</v>
      </c>
    </row>
    <row r="438" spans="1:12" x14ac:dyDescent="0.3">
      <c r="A438" s="31">
        <v>138</v>
      </c>
      <c r="B438" s="33" t="s">
        <v>151</v>
      </c>
      <c r="C438" s="33" t="s">
        <v>90</v>
      </c>
      <c r="D438" s="17">
        <v>375040</v>
      </c>
      <c r="E438" s="7">
        <v>293212</v>
      </c>
      <c r="F438" s="17">
        <v>21160</v>
      </c>
      <c r="G438" s="17">
        <v>68</v>
      </c>
      <c r="H438" s="17">
        <v>64448</v>
      </c>
      <c r="I438" s="17">
        <v>29961</v>
      </c>
      <c r="J438" s="17">
        <v>26761</v>
      </c>
      <c r="K438" s="6">
        <v>2022</v>
      </c>
      <c r="L438" s="12">
        <f t="shared" si="6"/>
        <v>94705</v>
      </c>
    </row>
    <row r="439" spans="1:12" x14ac:dyDescent="0.3">
      <c r="A439" s="31">
        <v>139</v>
      </c>
      <c r="B439" s="33" t="s">
        <v>166</v>
      </c>
      <c r="C439" s="33" t="s">
        <v>90</v>
      </c>
      <c r="D439" s="17">
        <v>370240</v>
      </c>
      <c r="E439" s="7">
        <v>384022</v>
      </c>
      <c r="F439" s="17">
        <v>45232</v>
      </c>
      <c r="G439" s="17">
        <v>69</v>
      </c>
      <c r="H439" s="17">
        <v>78075</v>
      </c>
      <c r="I439" s="17">
        <v>53076</v>
      </c>
      <c r="J439" s="17">
        <v>46087</v>
      </c>
      <c r="K439" s="6">
        <v>2022</v>
      </c>
      <c r="L439" s="12">
        <f t="shared" si="6"/>
        <v>126832.25</v>
      </c>
    </row>
    <row r="440" spans="1:12" x14ac:dyDescent="0.3">
      <c r="A440" s="31">
        <v>140</v>
      </c>
      <c r="B440" s="33" t="s">
        <v>143</v>
      </c>
      <c r="C440" s="33" t="s">
        <v>90</v>
      </c>
      <c r="D440" s="17">
        <v>357400</v>
      </c>
      <c r="E440" s="7">
        <v>310358</v>
      </c>
      <c r="F440" s="17">
        <v>31521</v>
      </c>
      <c r="G440" s="17">
        <v>64</v>
      </c>
      <c r="H440" s="17">
        <v>52298</v>
      </c>
      <c r="I440" s="17">
        <v>43229</v>
      </c>
      <c r="J440" s="17">
        <v>9287</v>
      </c>
      <c r="K440" s="6">
        <v>2022</v>
      </c>
      <c r="L440" s="12">
        <f t="shared" si="6"/>
        <v>98544.25</v>
      </c>
    </row>
    <row r="441" spans="1:12" x14ac:dyDescent="0.3">
      <c r="A441" s="31">
        <v>141</v>
      </c>
      <c r="B441" s="33" t="s">
        <v>117</v>
      </c>
      <c r="C441" s="33" t="s">
        <v>90</v>
      </c>
      <c r="D441" s="17">
        <v>351180</v>
      </c>
      <c r="E441" s="7">
        <v>379591</v>
      </c>
      <c r="F441" s="17">
        <v>64243</v>
      </c>
      <c r="G441" s="17">
        <v>56</v>
      </c>
      <c r="H441" s="17">
        <v>56585</v>
      </c>
      <c r="I441" s="17">
        <v>16256</v>
      </c>
      <c r="J441" s="17">
        <v>3136</v>
      </c>
      <c r="K441" s="6">
        <v>2022</v>
      </c>
      <c r="L441" s="12">
        <f t="shared" si="6"/>
        <v>125104.75</v>
      </c>
    </row>
    <row r="442" spans="1:12" x14ac:dyDescent="0.3">
      <c r="A442" s="31">
        <v>142</v>
      </c>
      <c r="B442" s="33" t="s">
        <v>148</v>
      </c>
      <c r="C442" s="33" t="s">
        <v>90</v>
      </c>
      <c r="D442" s="17">
        <v>347110</v>
      </c>
      <c r="E442" s="7">
        <v>680091</v>
      </c>
      <c r="F442" s="17">
        <v>61782</v>
      </c>
      <c r="G442" s="17">
        <v>65</v>
      </c>
      <c r="H442" s="17">
        <v>77206</v>
      </c>
      <c r="I442" s="17">
        <v>2663</v>
      </c>
      <c r="J442" s="17">
        <v>17380</v>
      </c>
      <c r="K442" s="6">
        <v>2022</v>
      </c>
      <c r="L442" s="12">
        <f t="shared" si="6"/>
        <v>204769.75</v>
      </c>
    </row>
    <row r="443" spans="1:12" x14ac:dyDescent="0.3">
      <c r="A443" s="31">
        <v>143</v>
      </c>
      <c r="B443" s="33" t="s">
        <v>174</v>
      </c>
      <c r="C443" s="33" t="s">
        <v>90</v>
      </c>
      <c r="D443" s="17">
        <v>326820</v>
      </c>
      <c r="E443" s="7">
        <v>355415</v>
      </c>
      <c r="F443" s="17">
        <v>10054</v>
      </c>
      <c r="G443" s="17">
        <v>70</v>
      </c>
      <c r="H443" s="17">
        <v>83979</v>
      </c>
      <c r="I443" s="17">
        <v>39891</v>
      </c>
      <c r="J443" s="17">
        <v>92742</v>
      </c>
      <c r="K443" s="6">
        <v>2022</v>
      </c>
      <c r="L443" s="12">
        <f t="shared" si="6"/>
        <v>112362</v>
      </c>
    </row>
    <row r="444" spans="1:12" x14ac:dyDescent="0.3">
      <c r="A444" s="31">
        <v>144</v>
      </c>
      <c r="B444" s="33" t="s">
        <v>135</v>
      </c>
      <c r="C444" s="33" t="s">
        <v>90</v>
      </c>
      <c r="D444" s="17">
        <v>299510</v>
      </c>
      <c r="E444" s="7">
        <v>428445</v>
      </c>
      <c r="F444" s="17">
        <v>52311</v>
      </c>
      <c r="G444" s="17">
        <v>64</v>
      </c>
      <c r="H444" s="17">
        <v>44485</v>
      </c>
      <c r="I444" s="17">
        <v>22710</v>
      </c>
      <c r="J444" s="17">
        <v>17883</v>
      </c>
      <c r="K444" s="6">
        <v>2022</v>
      </c>
      <c r="L444" s="12">
        <f t="shared" si="6"/>
        <v>131310.25</v>
      </c>
    </row>
    <row r="445" spans="1:12" x14ac:dyDescent="0.3">
      <c r="A445" s="31">
        <v>145</v>
      </c>
      <c r="B445" s="33" t="s">
        <v>123</v>
      </c>
      <c r="C445" s="33" t="s">
        <v>24</v>
      </c>
      <c r="D445" s="17">
        <v>295530</v>
      </c>
      <c r="E445" s="7">
        <v>630068</v>
      </c>
      <c r="F445" s="17">
        <v>37730</v>
      </c>
      <c r="G445" s="17">
        <v>75</v>
      </c>
      <c r="H445" s="17">
        <v>13891</v>
      </c>
      <c r="I445" s="17">
        <v>17565</v>
      </c>
      <c r="J445" s="17">
        <v>5753</v>
      </c>
      <c r="K445" s="6">
        <v>2022</v>
      </c>
      <c r="L445" s="12">
        <f t="shared" si="6"/>
        <v>170422.25</v>
      </c>
    </row>
    <row r="446" spans="1:12" x14ac:dyDescent="0.3">
      <c r="A446" s="31">
        <v>146</v>
      </c>
      <c r="B446" s="33" t="s">
        <v>173</v>
      </c>
      <c r="C446" s="33" t="s">
        <v>99</v>
      </c>
      <c r="D446" s="17">
        <v>240380</v>
      </c>
      <c r="E446" s="7">
        <v>343077</v>
      </c>
      <c r="F446" s="17">
        <v>0</v>
      </c>
      <c r="G446" s="17">
        <v>65</v>
      </c>
      <c r="H446" s="17">
        <v>0</v>
      </c>
      <c r="I446" s="17">
        <v>18993</v>
      </c>
      <c r="J446" s="17">
        <v>832</v>
      </c>
      <c r="K446" s="6">
        <v>2022</v>
      </c>
      <c r="L446" s="12">
        <f t="shared" si="6"/>
        <v>85769.25</v>
      </c>
    </row>
    <row r="447" spans="1:12" x14ac:dyDescent="0.3">
      <c r="A447" s="31">
        <v>1</v>
      </c>
      <c r="B447" s="33" t="s">
        <v>18</v>
      </c>
      <c r="C447" s="33" t="s">
        <v>12</v>
      </c>
      <c r="D447" s="17">
        <v>780420</v>
      </c>
      <c r="E447" s="7">
        <v>858486</v>
      </c>
      <c r="F447" s="17">
        <v>97853</v>
      </c>
      <c r="G447" s="17">
        <v>71</v>
      </c>
      <c r="H447" s="17">
        <v>100000</v>
      </c>
      <c r="I447" s="17">
        <v>29969</v>
      </c>
      <c r="J447" s="17">
        <v>4551</v>
      </c>
      <c r="K447" s="6">
        <v>2023</v>
      </c>
      <c r="L447" s="12">
        <f t="shared" si="6"/>
        <v>264084.75</v>
      </c>
    </row>
    <row r="448" spans="1:12" x14ac:dyDescent="0.3">
      <c r="A448" s="31">
        <v>2</v>
      </c>
      <c r="B448" s="33" t="s">
        <v>14</v>
      </c>
      <c r="C448" s="33" t="s">
        <v>12</v>
      </c>
      <c r="D448" s="17">
        <v>758640</v>
      </c>
      <c r="E448" s="7">
        <v>886229</v>
      </c>
      <c r="F448" s="17">
        <v>95567</v>
      </c>
      <c r="G448" s="17">
        <v>71</v>
      </c>
      <c r="H448" s="17">
        <v>95192</v>
      </c>
      <c r="I448" s="17">
        <v>49451</v>
      </c>
      <c r="J448" s="17">
        <v>6348</v>
      </c>
      <c r="K448" s="6">
        <v>2023</v>
      </c>
      <c r="L448" s="12">
        <f t="shared" si="6"/>
        <v>269247</v>
      </c>
    </row>
    <row r="449" spans="1:12" x14ac:dyDescent="0.3">
      <c r="A449" s="31">
        <v>3</v>
      </c>
      <c r="B449" s="33" t="s">
        <v>13</v>
      </c>
      <c r="C449" s="33" t="s">
        <v>12</v>
      </c>
      <c r="D449" s="17">
        <v>752960</v>
      </c>
      <c r="E449" s="7">
        <v>875364</v>
      </c>
      <c r="F449" s="17">
        <v>100000</v>
      </c>
      <c r="G449" s="17">
        <v>72</v>
      </c>
      <c r="H449" s="17">
        <v>95678</v>
      </c>
      <c r="I449" s="17">
        <v>59219</v>
      </c>
      <c r="J449" s="17">
        <v>66635</v>
      </c>
      <c r="K449" s="6">
        <v>2023</v>
      </c>
      <c r="L449" s="12">
        <f t="shared" si="6"/>
        <v>267760.5</v>
      </c>
    </row>
    <row r="450" spans="1:12" x14ac:dyDescent="0.3">
      <c r="A450" s="31">
        <v>4</v>
      </c>
      <c r="B450" s="33" t="s">
        <v>23</v>
      </c>
      <c r="C450" s="33" t="s">
        <v>24</v>
      </c>
      <c r="D450" s="17">
        <v>747290</v>
      </c>
      <c r="E450" s="7">
        <v>833490</v>
      </c>
      <c r="F450" s="17">
        <v>93888</v>
      </c>
      <c r="G450" s="17">
        <v>73</v>
      </c>
      <c r="H450" s="17">
        <v>73689</v>
      </c>
      <c r="I450" s="17">
        <v>29427</v>
      </c>
      <c r="J450" s="17">
        <v>71775</v>
      </c>
      <c r="K450" s="6">
        <v>2023</v>
      </c>
      <c r="L450" s="12">
        <f t="shared" si="6"/>
        <v>250266.75</v>
      </c>
    </row>
    <row r="451" spans="1:12" x14ac:dyDescent="0.3">
      <c r="A451" s="31">
        <v>5</v>
      </c>
      <c r="B451" s="33" t="s">
        <v>19</v>
      </c>
      <c r="C451" s="33" t="s">
        <v>12</v>
      </c>
      <c r="D451" s="17">
        <v>740300</v>
      </c>
      <c r="E451" s="7">
        <v>882986</v>
      </c>
      <c r="F451" s="17">
        <v>91885</v>
      </c>
      <c r="G451" s="17">
        <v>72</v>
      </c>
      <c r="H451" s="17">
        <v>87144</v>
      </c>
      <c r="I451" s="17">
        <v>59435</v>
      </c>
      <c r="J451" s="17">
        <v>29735</v>
      </c>
      <c r="K451" s="6">
        <v>2023</v>
      </c>
      <c r="L451" s="12">
        <f t="shared" ref="L451:L514" si="7">AVERAGE(E451,F451,H451,)</f>
        <v>265503.75</v>
      </c>
    </row>
    <row r="452" spans="1:12" x14ac:dyDescent="0.3">
      <c r="A452" s="31">
        <v>6</v>
      </c>
      <c r="B452" s="33" t="s">
        <v>20</v>
      </c>
      <c r="C452" s="33" t="s">
        <v>12</v>
      </c>
      <c r="D452" s="17">
        <v>739520</v>
      </c>
      <c r="E452" s="7">
        <v>873292</v>
      </c>
      <c r="F452" s="17">
        <v>93249</v>
      </c>
      <c r="G452" s="17">
        <v>72</v>
      </c>
      <c r="H452" s="17">
        <v>97682</v>
      </c>
      <c r="I452" s="17">
        <v>53339</v>
      </c>
      <c r="J452" s="17">
        <v>7195</v>
      </c>
      <c r="K452" s="6">
        <v>2023</v>
      </c>
      <c r="L452" s="12">
        <f t="shared" si="7"/>
        <v>266055.75</v>
      </c>
    </row>
    <row r="453" spans="1:12" x14ac:dyDescent="0.3">
      <c r="A453" s="31">
        <v>7</v>
      </c>
      <c r="B453" s="33" t="s">
        <v>15</v>
      </c>
      <c r="C453" s="33" t="s">
        <v>12</v>
      </c>
      <c r="D453" s="17">
        <v>731550</v>
      </c>
      <c r="E453" s="7">
        <v>906702</v>
      </c>
      <c r="F453" s="17">
        <v>93909</v>
      </c>
      <c r="G453" s="17">
        <v>72</v>
      </c>
      <c r="H453" s="17">
        <v>97449</v>
      </c>
      <c r="I453" s="17">
        <v>50265</v>
      </c>
      <c r="J453" s="17">
        <v>17450</v>
      </c>
      <c r="K453" s="6">
        <v>2023</v>
      </c>
      <c r="L453" s="12">
        <f t="shared" si="7"/>
        <v>274515</v>
      </c>
    </row>
    <row r="454" spans="1:12" x14ac:dyDescent="0.3">
      <c r="A454" s="31">
        <v>8</v>
      </c>
      <c r="B454" s="33" t="s">
        <v>11</v>
      </c>
      <c r="C454" s="33" t="s">
        <v>12</v>
      </c>
      <c r="D454" s="17">
        <v>724010</v>
      </c>
      <c r="E454" s="7">
        <v>919142</v>
      </c>
      <c r="F454" s="17">
        <v>90316</v>
      </c>
      <c r="G454" s="17">
        <v>73</v>
      </c>
      <c r="H454" s="17">
        <v>87869</v>
      </c>
      <c r="I454" s="17">
        <v>35761</v>
      </c>
      <c r="J454" s="17">
        <v>15356</v>
      </c>
      <c r="K454" s="6">
        <v>2023</v>
      </c>
      <c r="L454" s="12">
        <f t="shared" si="7"/>
        <v>274331.75</v>
      </c>
    </row>
    <row r="455" spans="1:12" x14ac:dyDescent="0.3">
      <c r="A455" s="31">
        <v>9</v>
      </c>
      <c r="B455" s="33" t="s">
        <v>31</v>
      </c>
      <c r="C455" s="33" t="s">
        <v>12</v>
      </c>
      <c r="D455" s="17">
        <v>722790</v>
      </c>
      <c r="E455" s="7">
        <v>1000000</v>
      </c>
      <c r="F455" s="17">
        <v>83775</v>
      </c>
      <c r="G455" s="17">
        <v>72</v>
      </c>
      <c r="H455" s="17">
        <v>91985</v>
      </c>
      <c r="I455" s="17">
        <v>35413</v>
      </c>
      <c r="J455" s="17">
        <v>25399</v>
      </c>
      <c r="K455" s="6">
        <v>2023</v>
      </c>
      <c r="L455" s="12">
        <f t="shared" si="7"/>
        <v>293940</v>
      </c>
    </row>
    <row r="456" spans="1:12" x14ac:dyDescent="0.3">
      <c r="A456" s="31">
        <v>10</v>
      </c>
      <c r="B456" s="33" t="s">
        <v>21</v>
      </c>
      <c r="C456" s="33" t="s">
        <v>17</v>
      </c>
      <c r="D456" s="17">
        <v>712290</v>
      </c>
      <c r="E456" s="7">
        <v>837266</v>
      </c>
      <c r="F456" s="17">
        <v>95300</v>
      </c>
      <c r="G456" s="17">
        <v>70</v>
      </c>
      <c r="H456" s="17">
        <v>87092</v>
      </c>
      <c r="I456" s="17">
        <v>54617</v>
      </c>
      <c r="J456" s="17">
        <v>15977</v>
      </c>
      <c r="K456" s="6">
        <v>2023</v>
      </c>
      <c r="L456" s="12">
        <f t="shared" si="7"/>
        <v>254914.5</v>
      </c>
    </row>
    <row r="457" spans="1:12" x14ac:dyDescent="0.3">
      <c r="A457" s="31">
        <v>11</v>
      </c>
      <c r="B457" s="33" t="s">
        <v>27</v>
      </c>
      <c r="C457" s="33" t="s">
        <v>12</v>
      </c>
      <c r="D457" s="17">
        <v>709730</v>
      </c>
      <c r="E457" s="7">
        <v>875915</v>
      </c>
      <c r="F457" s="17">
        <v>85325</v>
      </c>
      <c r="G457" s="17">
        <v>71</v>
      </c>
      <c r="H457" s="17">
        <v>81601</v>
      </c>
      <c r="I457" s="17">
        <v>45297</v>
      </c>
      <c r="J457" s="17">
        <v>44786</v>
      </c>
      <c r="K457" s="6">
        <v>2023</v>
      </c>
      <c r="L457" s="12">
        <f t="shared" si="7"/>
        <v>260710.25</v>
      </c>
    </row>
    <row r="458" spans="1:12" x14ac:dyDescent="0.3">
      <c r="A458" s="31">
        <v>12</v>
      </c>
      <c r="B458" s="33" t="s">
        <v>22</v>
      </c>
      <c r="C458" s="33" t="s">
        <v>17</v>
      </c>
      <c r="D458" s="17">
        <v>709460</v>
      </c>
      <c r="E458" s="7">
        <v>863220</v>
      </c>
      <c r="F458" s="17">
        <v>92411</v>
      </c>
      <c r="G458" s="17">
        <v>71</v>
      </c>
      <c r="H458" s="17">
        <v>87718</v>
      </c>
      <c r="I458" s="17">
        <v>57510</v>
      </c>
      <c r="J458" s="17">
        <v>44676</v>
      </c>
      <c r="K458" s="6">
        <v>2023</v>
      </c>
      <c r="L458" s="12">
        <f t="shared" si="7"/>
        <v>260837.25</v>
      </c>
    </row>
    <row r="459" spans="1:12" x14ac:dyDescent="0.3">
      <c r="A459" s="31">
        <v>13</v>
      </c>
      <c r="B459" s="33" t="s">
        <v>16</v>
      </c>
      <c r="C459" s="33" t="s">
        <v>17</v>
      </c>
      <c r="D459" s="17">
        <v>696070</v>
      </c>
      <c r="E459" s="7">
        <v>855330</v>
      </c>
      <c r="F459" s="17">
        <v>91619</v>
      </c>
      <c r="G459" s="17">
        <v>71</v>
      </c>
      <c r="H459" s="17">
        <v>85004</v>
      </c>
      <c r="I459" s="17">
        <v>51781</v>
      </c>
      <c r="J459" s="17">
        <v>35007</v>
      </c>
      <c r="K459" s="6">
        <v>2023</v>
      </c>
      <c r="L459" s="12">
        <f t="shared" si="7"/>
        <v>257988.25</v>
      </c>
    </row>
    <row r="460" spans="1:12" x14ac:dyDescent="0.3">
      <c r="A460" s="31">
        <v>14</v>
      </c>
      <c r="B460" s="33" t="s">
        <v>32</v>
      </c>
      <c r="C460" s="33" t="s">
        <v>12</v>
      </c>
      <c r="D460" s="17">
        <v>691080</v>
      </c>
      <c r="E460" s="7">
        <v>978382</v>
      </c>
      <c r="F460" s="17">
        <v>87965</v>
      </c>
      <c r="G460" s="17">
        <v>71</v>
      </c>
      <c r="H460" s="17">
        <v>84989</v>
      </c>
      <c r="I460" s="17">
        <v>44031</v>
      </c>
      <c r="J460" s="17">
        <v>27056</v>
      </c>
      <c r="K460" s="6">
        <v>2023</v>
      </c>
      <c r="L460" s="12">
        <f t="shared" si="7"/>
        <v>287834</v>
      </c>
    </row>
    <row r="461" spans="1:12" x14ac:dyDescent="0.3">
      <c r="A461" s="31">
        <v>15</v>
      </c>
      <c r="B461" s="33" t="s">
        <v>29</v>
      </c>
      <c r="C461" s="33" t="s">
        <v>17</v>
      </c>
      <c r="D461" s="17">
        <v>689370</v>
      </c>
      <c r="E461" s="7">
        <v>900265</v>
      </c>
      <c r="F461" s="17">
        <v>90117</v>
      </c>
      <c r="G461" s="17">
        <v>66</v>
      </c>
      <c r="H461" s="17">
        <v>72244</v>
      </c>
      <c r="I461" s="17">
        <v>49739</v>
      </c>
      <c r="J461" s="17">
        <v>69285</v>
      </c>
      <c r="K461" s="6">
        <v>2023</v>
      </c>
      <c r="L461" s="12">
        <f t="shared" si="7"/>
        <v>265656.5</v>
      </c>
    </row>
    <row r="462" spans="1:12" x14ac:dyDescent="0.3">
      <c r="A462" s="31">
        <v>16</v>
      </c>
      <c r="B462" s="33" t="s">
        <v>41</v>
      </c>
      <c r="C462" s="33" t="s">
        <v>12</v>
      </c>
      <c r="D462" s="17">
        <v>689180</v>
      </c>
      <c r="E462" s="7">
        <v>872605</v>
      </c>
      <c r="F462" s="17">
        <v>86497</v>
      </c>
      <c r="G462" s="17">
        <v>71</v>
      </c>
      <c r="H462" s="17">
        <v>80068</v>
      </c>
      <c r="I462" s="17">
        <v>36188</v>
      </c>
      <c r="J462" s="17">
        <v>34925</v>
      </c>
      <c r="K462" s="6">
        <v>2023</v>
      </c>
      <c r="L462" s="12">
        <f t="shared" si="7"/>
        <v>259792.5</v>
      </c>
    </row>
    <row r="463" spans="1:12" x14ac:dyDescent="0.3">
      <c r="A463" s="31">
        <v>17</v>
      </c>
      <c r="B463" s="33" t="s">
        <v>33</v>
      </c>
      <c r="C463" s="33" t="s">
        <v>12</v>
      </c>
      <c r="D463" s="17">
        <v>685910</v>
      </c>
      <c r="E463" s="7">
        <v>866895</v>
      </c>
      <c r="F463" s="17">
        <v>89447</v>
      </c>
      <c r="G463" s="17">
        <v>71</v>
      </c>
      <c r="H463" s="17">
        <v>76511</v>
      </c>
      <c r="I463" s="17">
        <v>32545</v>
      </c>
      <c r="J463" s="17">
        <v>51401</v>
      </c>
      <c r="K463" s="6">
        <v>2023</v>
      </c>
      <c r="L463" s="12">
        <f t="shared" si="7"/>
        <v>258213.25</v>
      </c>
    </row>
    <row r="464" spans="1:12" x14ac:dyDescent="0.3">
      <c r="A464" s="31">
        <v>18</v>
      </c>
      <c r="B464" s="33" t="s">
        <v>193</v>
      </c>
      <c r="C464" s="33" t="s">
        <v>47</v>
      </c>
      <c r="D464" s="17">
        <v>684520</v>
      </c>
      <c r="E464" s="7">
        <v>828976</v>
      </c>
      <c r="F464" s="17">
        <v>95328</v>
      </c>
      <c r="G464" s="17">
        <v>69</v>
      </c>
      <c r="H464" s="17">
        <v>89842</v>
      </c>
      <c r="I464" s="17">
        <v>37426</v>
      </c>
      <c r="J464" s="17">
        <v>91042</v>
      </c>
      <c r="K464" s="6">
        <v>2023</v>
      </c>
      <c r="L464" s="12">
        <f t="shared" si="7"/>
        <v>253536.5</v>
      </c>
    </row>
    <row r="465" spans="1:12" x14ac:dyDescent="0.3">
      <c r="A465" s="31">
        <v>19</v>
      </c>
      <c r="B465" s="33" t="s">
        <v>35</v>
      </c>
      <c r="C465" s="33" t="s">
        <v>12</v>
      </c>
      <c r="D465" s="17">
        <v>679560</v>
      </c>
      <c r="E465" s="7">
        <v>844176</v>
      </c>
      <c r="F465" s="17">
        <v>84353</v>
      </c>
      <c r="G465" s="17">
        <v>70</v>
      </c>
      <c r="H465" s="17">
        <v>81162</v>
      </c>
      <c r="I465" s="17">
        <v>64606</v>
      </c>
      <c r="J465" s="17">
        <v>39333</v>
      </c>
      <c r="K465" s="6">
        <v>2023</v>
      </c>
      <c r="L465" s="12">
        <f t="shared" si="7"/>
        <v>252422.75</v>
      </c>
    </row>
    <row r="466" spans="1:12" x14ac:dyDescent="0.3">
      <c r="A466" s="31">
        <v>20</v>
      </c>
      <c r="B466" s="33" t="s">
        <v>74</v>
      </c>
      <c r="C466" s="33" t="s">
        <v>12</v>
      </c>
      <c r="D466" s="17">
        <v>676300</v>
      </c>
      <c r="E466" s="7">
        <v>821935</v>
      </c>
      <c r="F466" s="17">
        <v>93265</v>
      </c>
      <c r="G466" s="17">
        <v>67</v>
      </c>
      <c r="H466" s="17">
        <v>63165</v>
      </c>
      <c r="I466" s="17">
        <v>13882</v>
      </c>
      <c r="J466" s="17">
        <v>84163</v>
      </c>
      <c r="K466" s="6">
        <v>2023</v>
      </c>
      <c r="L466" s="12">
        <f t="shared" si="7"/>
        <v>244591.25</v>
      </c>
    </row>
    <row r="467" spans="1:12" x14ac:dyDescent="0.3">
      <c r="A467" s="31">
        <v>21</v>
      </c>
      <c r="B467" s="33" t="s">
        <v>44</v>
      </c>
      <c r="C467" s="33" t="s">
        <v>12</v>
      </c>
      <c r="D467" s="17">
        <v>666130</v>
      </c>
      <c r="E467" s="7">
        <v>843604</v>
      </c>
      <c r="F467" s="17">
        <v>88501</v>
      </c>
      <c r="G467" s="17">
        <v>72</v>
      </c>
      <c r="H467" s="17">
        <v>75391</v>
      </c>
      <c r="I467" s="17">
        <v>19600</v>
      </c>
      <c r="J467" s="17">
        <v>51918</v>
      </c>
      <c r="K467" s="6">
        <v>2023</v>
      </c>
      <c r="L467" s="12">
        <f t="shared" si="7"/>
        <v>251874</v>
      </c>
    </row>
    <row r="468" spans="1:12" x14ac:dyDescent="0.3">
      <c r="A468" s="31">
        <v>22</v>
      </c>
      <c r="B468" s="33" t="s">
        <v>73</v>
      </c>
      <c r="C468" s="33" t="s">
        <v>47</v>
      </c>
      <c r="D468" s="17">
        <v>664990</v>
      </c>
      <c r="E468" s="7">
        <v>825270</v>
      </c>
      <c r="F468" s="17">
        <v>95008</v>
      </c>
      <c r="G468" s="17">
        <v>71</v>
      </c>
      <c r="H468" s="17">
        <v>91699</v>
      </c>
      <c r="I468" s="17">
        <v>34197</v>
      </c>
      <c r="J468" s="17">
        <v>79841</v>
      </c>
      <c r="K468" s="6">
        <v>2023</v>
      </c>
      <c r="L468" s="12">
        <f t="shared" si="7"/>
        <v>252994.25</v>
      </c>
    </row>
    <row r="469" spans="1:12" x14ac:dyDescent="0.3">
      <c r="A469" s="31">
        <v>23</v>
      </c>
      <c r="B469" s="33" t="s">
        <v>25</v>
      </c>
      <c r="C469" s="33" t="s">
        <v>26</v>
      </c>
      <c r="D469" s="17">
        <v>660850</v>
      </c>
      <c r="E469" s="7">
        <v>721454</v>
      </c>
      <c r="F469" s="17">
        <v>82705</v>
      </c>
      <c r="G469" s="17">
        <v>70</v>
      </c>
      <c r="H469" s="17">
        <v>88549</v>
      </c>
      <c r="I469" s="17">
        <v>23480</v>
      </c>
      <c r="J469" s="17">
        <v>79402</v>
      </c>
      <c r="K469" s="6">
        <v>2023</v>
      </c>
      <c r="L469" s="12">
        <f t="shared" si="7"/>
        <v>223177</v>
      </c>
    </row>
    <row r="470" spans="1:12" x14ac:dyDescent="0.3">
      <c r="A470" s="31">
        <v>24</v>
      </c>
      <c r="B470" s="33" t="s">
        <v>106</v>
      </c>
      <c r="C470" s="33" t="s">
        <v>47</v>
      </c>
      <c r="D470" s="17">
        <v>658910</v>
      </c>
      <c r="E470" s="7">
        <v>784633</v>
      </c>
      <c r="F470" s="17">
        <v>79012</v>
      </c>
      <c r="G470" s="17">
        <v>67</v>
      </c>
      <c r="H470" s="17">
        <v>81787</v>
      </c>
      <c r="I470" s="17">
        <v>10504</v>
      </c>
      <c r="J470" s="17">
        <v>100000</v>
      </c>
      <c r="K470" s="6">
        <v>2023</v>
      </c>
      <c r="L470" s="12">
        <f t="shared" si="7"/>
        <v>236358</v>
      </c>
    </row>
    <row r="471" spans="1:12" x14ac:dyDescent="0.3">
      <c r="A471" s="31">
        <v>25</v>
      </c>
      <c r="B471" s="33" t="s">
        <v>38</v>
      </c>
      <c r="C471" s="33" t="s">
        <v>39</v>
      </c>
      <c r="D471" s="17">
        <v>658670</v>
      </c>
      <c r="E471" s="7">
        <v>985578</v>
      </c>
      <c r="F471" s="17">
        <v>83625</v>
      </c>
      <c r="G471" s="17">
        <v>74</v>
      </c>
      <c r="H471" s="17">
        <v>85557</v>
      </c>
      <c r="I471" s="17">
        <v>40350</v>
      </c>
      <c r="J471" s="17">
        <v>100000</v>
      </c>
      <c r="K471" s="6">
        <v>2023</v>
      </c>
      <c r="L471" s="12">
        <f t="shared" si="7"/>
        <v>288690</v>
      </c>
    </row>
    <row r="472" spans="1:12" x14ac:dyDescent="0.3">
      <c r="A472" s="31">
        <v>26</v>
      </c>
      <c r="B472" s="33" t="s">
        <v>34</v>
      </c>
      <c r="C472" s="33" t="s">
        <v>24</v>
      </c>
      <c r="D472" s="17">
        <v>657120</v>
      </c>
      <c r="E472" s="7">
        <v>916068</v>
      </c>
      <c r="F472" s="17">
        <v>75511</v>
      </c>
      <c r="G472" s="17">
        <v>66</v>
      </c>
      <c r="H472" s="17">
        <v>96615</v>
      </c>
      <c r="I472" s="17">
        <v>44544</v>
      </c>
      <c r="J472" s="17">
        <v>55900</v>
      </c>
      <c r="K472" s="6">
        <v>2023</v>
      </c>
      <c r="L472" s="12">
        <f t="shared" si="7"/>
        <v>272048.5</v>
      </c>
    </row>
    <row r="473" spans="1:12" x14ac:dyDescent="0.3">
      <c r="A473" s="31">
        <v>27</v>
      </c>
      <c r="B473" s="33" t="s">
        <v>184</v>
      </c>
      <c r="C473" s="33" t="s">
        <v>55</v>
      </c>
      <c r="D473" s="17">
        <v>653540</v>
      </c>
      <c r="E473" s="7">
        <v>859374</v>
      </c>
      <c r="F473" s="17">
        <v>84699</v>
      </c>
      <c r="G473" s="17">
        <v>70</v>
      </c>
      <c r="H473" s="17">
        <v>72836</v>
      </c>
      <c r="I473" s="17">
        <v>15951</v>
      </c>
      <c r="J473" s="17">
        <v>68312</v>
      </c>
      <c r="K473" s="6">
        <v>2023</v>
      </c>
      <c r="L473" s="12">
        <f t="shared" si="7"/>
        <v>254227.25</v>
      </c>
    </row>
    <row r="474" spans="1:12" x14ac:dyDescent="0.3">
      <c r="A474" s="31">
        <v>28</v>
      </c>
      <c r="B474" s="33" t="s">
        <v>48</v>
      </c>
      <c r="C474" s="33" t="s">
        <v>26</v>
      </c>
      <c r="D474" s="17">
        <v>649390</v>
      </c>
      <c r="E474" s="7">
        <v>735304</v>
      </c>
      <c r="F474" s="17">
        <v>89188</v>
      </c>
      <c r="G474" s="17">
        <v>68</v>
      </c>
      <c r="H474" s="17">
        <v>88580</v>
      </c>
      <c r="I474" s="17">
        <v>24140</v>
      </c>
      <c r="J474" s="17">
        <v>54723</v>
      </c>
      <c r="K474" s="6">
        <v>2023</v>
      </c>
      <c r="L474" s="12">
        <f t="shared" si="7"/>
        <v>228268</v>
      </c>
    </row>
    <row r="475" spans="1:12" x14ac:dyDescent="0.3">
      <c r="A475" s="31">
        <v>29</v>
      </c>
      <c r="B475" s="33" t="s">
        <v>63</v>
      </c>
      <c r="C475" s="33" t="s">
        <v>47</v>
      </c>
      <c r="D475" s="17">
        <v>646860</v>
      </c>
      <c r="E475" s="7">
        <v>786977</v>
      </c>
      <c r="F475" s="17">
        <v>95326</v>
      </c>
      <c r="G475" s="17">
        <v>69</v>
      </c>
      <c r="H475" s="17">
        <v>64092</v>
      </c>
      <c r="I475" s="17">
        <v>30272</v>
      </c>
      <c r="J475" s="17">
        <v>96008</v>
      </c>
      <c r="K475" s="6">
        <v>2023</v>
      </c>
      <c r="L475" s="12">
        <f t="shared" si="7"/>
        <v>236598.75</v>
      </c>
    </row>
    <row r="476" spans="1:12" x14ac:dyDescent="0.3">
      <c r="A476" s="31">
        <v>30</v>
      </c>
      <c r="B476" s="33" t="s">
        <v>51</v>
      </c>
      <c r="C476" s="33" t="s">
        <v>24</v>
      </c>
      <c r="D476" s="17">
        <v>646260</v>
      </c>
      <c r="E476" s="7">
        <v>846003</v>
      </c>
      <c r="F476" s="17">
        <v>84612</v>
      </c>
      <c r="G476" s="17">
        <v>64</v>
      </c>
      <c r="H476" s="17">
        <v>88341</v>
      </c>
      <c r="I476" s="17">
        <v>22099</v>
      </c>
      <c r="J476" s="17">
        <v>69631</v>
      </c>
      <c r="K476" s="6">
        <v>2023</v>
      </c>
      <c r="L476" s="12">
        <f t="shared" si="7"/>
        <v>254739</v>
      </c>
    </row>
    <row r="477" spans="1:12" x14ac:dyDescent="0.3">
      <c r="A477" s="31">
        <v>31</v>
      </c>
      <c r="B477" s="33" t="s">
        <v>92</v>
      </c>
      <c r="C477" s="33" t="s">
        <v>12</v>
      </c>
      <c r="D477" s="17">
        <v>645520</v>
      </c>
      <c r="E477" s="7">
        <v>817615</v>
      </c>
      <c r="F477" s="17">
        <v>94244</v>
      </c>
      <c r="G477" s="17">
        <v>70</v>
      </c>
      <c r="H477" s="17">
        <v>94374</v>
      </c>
      <c r="I477" s="17">
        <v>36408</v>
      </c>
      <c r="J477" s="17">
        <v>33635</v>
      </c>
      <c r="K477" s="6">
        <v>2023</v>
      </c>
      <c r="L477" s="12">
        <f t="shared" si="7"/>
        <v>251558.25</v>
      </c>
    </row>
    <row r="478" spans="1:12" x14ac:dyDescent="0.3">
      <c r="A478" s="31">
        <v>32</v>
      </c>
      <c r="B478" s="33" t="s">
        <v>52</v>
      </c>
      <c r="C478" s="33" t="s">
        <v>12</v>
      </c>
      <c r="D478" s="17">
        <v>643620</v>
      </c>
      <c r="E478" s="7">
        <v>817445</v>
      </c>
      <c r="F478" s="17">
        <v>92078</v>
      </c>
      <c r="G478" s="17">
        <v>72</v>
      </c>
      <c r="H478" s="17">
        <v>69075</v>
      </c>
      <c r="I478" s="17">
        <v>23973</v>
      </c>
      <c r="J478" s="17">
        <v>72085</v>
      </c>
      <c r="K478" s="6">
        <v>2023</v>
      </c>
      <c r="L478" s="12">
        <f t="shared" si="7"/>
        <v>244649.5</v>
      </c>
    </row>
    <row r="479" spans="1:12" x14ac:dyDescent="0.3">
      <c r="A479" s="31">
        <v>33</v>
      </c>
      <c r="B479" s="33" t="s">
        <v>68</v>
      </c>
      <c r="C479" s="33" t="s">
        <v>12</v>
      </c>
      <c r="D479" s="17">
        <v>640450</v>
      </c>
      <c r="E479" s="7">
        <v>832731</v>
      </c>
      <c r="F479" s="17">
        <v>84254</v>
      </c>
      <c r="G479" s="17">
        <v>72</v>
      </c>
      <c r="H479" s="17">
        <v>56725</v>
      </c>
      <c r="I479" s="17">
        <v>23004</v>
      </c>
      <c r="J479" s="17">
        <v>88846</v>
      </c>
      <c r="K479" s="6">
        <v>2023</v>
      </c>
      <c r="L479" s="12">
        <f t="shared" si="7"/>
        <v>243427.5</v>
      </c>
    </row>
    <row r="480" spans="1:12" x14ac:dyDescent="0.3">
      <c r="A480" s="31">
        <v>34</v>
      </c>
      <c r="B480" s="33" t="s">
        <v>87</v>
      </c>
      <c r="C480" s="33" t="s">
        <v>47</v>
      </c>
      <c r="D480" s="17">
        <v>636760</v>
      </c>
      <c r="E480" s="7">
        <v>624855</v>
      </c>
      <c r="F480" s="17">
        <v>78362</v>
      </c>
      <c r="G480" s="17">
        <v>65</v>
      </c>
      <c r="H480" s="17">
        <v>82763</v>
      </c>
      <c r="I480" s="17">
        <v>65294</v>
      </c>
      <c r="J480" s="17">
        <v>91958</v>
      </c>
      <c r="K480" s="6">
        <v>2023</v>
      </c>
      <c r="L480" s="12">
        <f t="shared" si="7"/>
        <v>196495</v>
      </c>
    </row>
    <row r="481" spans="1:12" x14ac:dyDescent="0.3">
      <c r="A481" s="31">
        <v>35</v>
      </c>
      <c r="B481" s="33" t="s">
        <v>42</v>
      </c>
      <c r="C481" s="33" t="s">
        <v>26</v>
      </c>
      <c r="D481" s="17">
        <v>633380</v>
      </c>
      <c r="E481" s="7">
        <v>747934</v>
      </c>
      <c r="F481" s="17">
        <v>85433</v>
      </c>
      <c r="G481" s="17">
        <v>70</v>
      </c>
      <c r="H481" s="17">
        <v>70825</v>
      </c>
      <c r="I481" s="17">
        <v>30961</v>
      </c>
      <c r="J481" s="17">
        <v>86419</v>
      </c>
      <c r="K481" s="6">
        <v>2023</v>
      </c>
      <c r="L481" s="12">
        <f t="shared" si="7"/>
        <v>226048</v>
      </c>
    </row>
    <row r="482" spans="1:12" x14ac:dyDescent="0.3">
      <c r="A482" s="31">
        <v>36</v>
      </c>
      <c r="B482" s="33" t="s">
        <v>28</v>
      </c>
      <c r="C482" s="33" t="s">
        <v>26</v>
      </c>
      <c r="D482" s="17">
        <v>632950</v>
      </c>
      <c r="E482" s="7">
        <v>704829</v>
      </c>
      <c r="F482" s="17">
        <v>72157</v>
      </c>
      <c r="G482" s="17">
        <v>66</v>
      </c>
      <c r="H482" s="17">
        <v>81857</v>
      </c>
      <c r="I482" s="17">
        <v>20456</v>
      </c>
      <c r="J482" s="17">
        <v>79471</v>
      </c>
      <c r="K482" s="6">
        <v>2023</v>
      </c>
      <c r="L482" s="12">
        <f t="shared" si="7"/>
        <v>214710.75</v>
      </c>
    </row>
    <row r="483" spans="1:12" x14ac:dyDescent="0.3">
      <c r="A483" s="31">
        <v>37</v>
      </c>
      <c r="B483" s="33" t="s">
        <v>53</v>
      </c>
      <c r="C483" s="33" t="s">
        <v>12</v>
      </c>
      <c r="D483" s="17">
        <v>629990</v>
      </c>
      <c r="E483" s="7">
        <v>837103</v>
      </c>
      <c r="F483" s="17">
        <v>90665</v>
      </c>
      <c r="G483" s="17">
        <v>72</v>
      </c>
      <c r="H483" s="17">
        <v>86931</v>
      </c>
      <c r="I483" s="17">
        <v>47551</v>
      </c>
      <c r="J483" s="17">
        <v>74428</v>
      </c>
      <c r="K483" s="6">
        <v>2023</v>
      </c>
      <c r="L483" s="12">
        <f t="shared" si="7"/>
        <v>253674.75</v>
      </c>
    </row>
    <row r="484" spans="1:12" x14ac:dyDescent="0.3">
      <c r="A484" s="31">
        <v>38</v>
      </c>
      <c r="B484" s="33" t="s">
        <v>40</v>
      </c>
      <c r="C484" s="33" t="s">
        <v>26</v>
      </c>
      <c r="D484" s="17">
        <v>626450</v>
      </c>
      <c r="E484" s="7">
        <v>779090</v>
      </c>
      <c r="F484" s="17">
        <v>86551</v>
      </c>
      <c r="G484" s="17">
        <v>69</v>
      </c>
      <c r="H484" s="17">
        <v>81663</v>
      </c>
      <c r="I484" s="17">
        <v>15386</v>
      </c>
      <c r="J484" s="17">
        <v>93513</v>
      </c>
      <c r="K484" s="6">
        <v>2023</v>
      </c>
      <c r="L484" s="12">
        <f t="shared" si="7"/>
        <v>236826</v>
      </c>
    </row>
    <row r="485" spans="1:12" x14ac:dyDescent="0.3">
      <c r="A485" s="31">
        <v>39</v>
      </c>
      <c r="B485" s="33" t="s">
        <v>78</v>
      </c>
      <c r="C485" s="33" t="s">
        <v>47</v>
      </c>
      <c r="D485" s="17">
        <v>625970</v>
      </c>
      <c r="E485" s="7">
        <v>803202</v>
      </c>
      <c r="F485" s="17">
        <v>91036</v>
      </c>
      <c r="G485" s="17">
        <v>69</v>
      </c>
      <c r="H485" s="17">
        <v>66208</v>
      </c>
      <c r="I485" s="17">
        <v>28425</v>
      </c>
      <c r="J485" s="17">
        <v>75284</v>
      </c>
      <c r="K485" s="6">
        <v>2023</v>
      </c>
      <c r="L485" s="12">
        <f t="shared" si="7"/>
        <v>240111.5</v>
      </c>
    </row>
    <row r="486" spans="1:12" x14ac:dyDescent="0.3">
      <c r="A486" s="31">
        <v>40</v>
      </c>
      <c r="B486" s="33" t="s">
        <v>75</v>
      </c>
      <c r="C486" s="33" t="s">
        <v>26</v>
      </c>
      <c r="D486" s="17">
        <v>625880</v>
      </c>
      <c r="E486" s="7">
        <v>503970</v>
      </c>
      <c r="F486" s="17">
        <v>79769</v>
      </c>
      <c r="G486" s="17">
        <v>66</v>
      </c>
      <c r="H486" s="17">
        <v>85515</v>
      </c>
      <c r="I486" s="17">
        <v>35029</v>
      </c>
      <c r="J486" s="17">
        <v>61164</v>
      </c>
      <c r="K486" s="6">
        <v>2023</v>
      </c>
      <c r="L486" s="12">
        <f t="shared" si="7"/>
        <v>167313.5</v>
      </c>
    </row>
    <row r="487" spans="1:12" x14ac:dyDescent="0.3">
      <c r="A487" s="31">
        <v>41</v>
      </c>
      <c r="B487" s="33" t="s">
        <v>109</v>
      </c>
      <c r="C487" s="33" t="s">
        <v>12</v>
      </c>
      <c r="D487" s="17">
        <v>621270</v>
      </c>
      <c r="E487" s="7">
        <v>789731</v>
      </c>
      <c r="F487" s="17">
        <v>92919</v>
      </c>
      <c r="G487" s="17">
        <v>66</v>
      </c>
      <c r="H487" s="17">
        <v>75197</v>
      </c>
      <c r="I487" s="17">
        <v>25290</v>
      </c>
      <c r="J487" s="17">
        <v>87377</v>
      </c>
      <c r="K487" s="6">
        <v>2023</v>
      </c>
      <c r="L487" s="12">
        <f t="shared" si="7"/>
        <v>239461.75</v>
      </c>
    </row>
    <row r="488" spans="1:12" x14ac:dyDescent="0.3">
      <c r="A488" s="31">
        <v>42</v>
      </c>
      <c r="B488" s="33" t="s">
        <v>67</v>
      </c>
      <c r="C488" s="33" t="s">
        <v>24</v>
      </c>
      <c r="D488" s="17">
        <v>617320</v>
      </c>
      <c r="E488" s="7">
        <v>855840</v>
      </c>
      <c r="F488" s="17">
        <v>78370</v>
      </c>
      <c r="G488" s="17">
        <v>66</v>
      </c>
      <c r="H488" s="17">
        <v>96993</v>
      </c>
      <c r="I488" s="17">
        <v>47260</v>
      </c>
      <c r="J488" s="17">
        <v>75428</v>
      </c>
      <c r="K488" s="6">
        <v>2023</v>
      </c>
      <c r="L488" s="12">
        <f t="shared" si="7"/>
        <v>257800.75</v>
      </c>
    </row>
    <row r="489" spans="1:12" x14ac:dyDescent="0.3">
      <c r="A489" s="31">
        <v>43</v>
      </c>
      <c r="B489" s="33" t="s">
        <v>60</v>
      </c>
      <c r="C489" s="33" t="s">
        <v>26</v>
      </c>
      <c r="D489" s="17">
        <v>615030</v>
      </c>
      <c r="E489" s="7">
        <v>585171</v>
      </c>
      <c r="F489" s="17">
        <v>73362</v>
      </c>
      <c r="G489" s="17">
        <v>63</v>
      </c>
      <c r="H489" s="17">
        <v>81813</v>
      </c>
      <c r="I489" s="17">
        <v>25076</v>
      </c>
      <c r="J489" s="17">
        <v>88184</v>
      </c>
      <c r="K489" s="6">
        <v>2023</v>
      </c>
      <c r="L489" s="12">
        <f t="shared" si="7"/>
        <v>185086.5</v>
      </c>
    </row>
    <row r="490" spans="1:12" x14ac:dyDescent="0.3">
      <c r="A490" s="31">
        <v>44</v>
      </c>
      <c r="B490" s="33" t="s">
        <v>72</v>
      </c>
      <c r="C490" s="33" t="s">
        <v>62</v>
      </c>
      <c r="D490" s="17">
        <v>614390</v>
      </c>
      <c r="E490" s="7">
        <v>756428</v>
      </c>
      <c r="F490" s="17">
        <v>92033</v>
      </c>
      <c r="G490" s="17">
        <v>66</v>
      </c>
      <c r="H490" s="17">
        <v>81342</v>
      </c>
      <c r="I490" s="17">
        <v>32303</v>
      </c>
      <c r="J490" s="17">
        <v>73482</v>
      </c>
      <c r="K490" s="6">
        <v>2023</v>
      </c>
      <c r="L490" s="12">
        <f t="shared" si="7"/>
        <v>232450.75</v>
      </c>
    </row>
    <row r="491" spans="1:12" x14ac:dyDescent="0.3">
      <c r="A491" s="31">
        <v>45</v>
      </c>
      <c r="B491" s="33" t="s">
        <v>107</v>
      </c>
      <c r="C491" s="33" t="s">
        <v>47</v>
      </c>
      <c r="D491" s="17">
        <v>614360</v>
      </c>
      <c r="E491" s="7">
        <v>705543</v>
      </c>
      <c r="F491" s="17">
        <v>82925</v>
      </c>
      <c r="G491" s="17">
        <v>67</v>
      </c>
      <c r="H491" s="17">
        <v>79928</v>
      </c>
      <c r="I491" s="17">
        <v>58329</v>
      </c>
      <c r="J491" s="17">
        <v>85611</v>
      </c>
      <c r="K491" s="6">
        <v>2023</v>
      </c>
      <c r="L491" s="12">
        <f t="shared" si="7"/>
        <v>217099</v>
      </c>
    </row>
    <row r="492" spans="1:12" x14ac:dyDescent="0.3">
      <c r="A492" s="31">
        <v>46</v>
      </c>
      <c r="B492" s="33" t="s">
        <v>85</v>
      </c>
      <c r="C492" s="33" t="s">
        <v>90</v>
      </c>
      <c r="D492" s="17">
        <v>613000</v>
      </c>
      <c r="E492" s="7">
        <v>829006</v>
      </c>
      <c r="F492" s="17">
        <v>75600</v>
      </c>
      <c r="G492" s="17">
        <v>73</v>
      </c>
      <c r="H492" s="17">
        <v>59029</v>
      </c>
      <c r="I492" s="17">
        <v>24724</v>
      </c>
      <c r="J492" s="17">
        <v>91149</v>
      </c>
      <c r="K492" s="6">
        <v>2023</v>
      </c>
      <c r="L492" s="12">
        <f t="shared" si="7"/>
        <v>240908.75</v>
      </c>
    </row>
    <row r="493" spans="1:12" x14ac:dyDescent="0.3">
      <c r="A493" s="31">
        <v>47</v>
      </c>
      <c r="B493" s="33" t="s">
        <v>64</v>
      </c>
      <c r="C493" s="33" t="s">
        <v>55</v>
      </c>
      <c r="D493" s="17">
        <v>612900</v>
      </c>
      <c r="E493" s="7">
        <v>829732</v>
      </c>
      <c r="F493" s="17">
        <v>86211</v>
      </c>
      <c r="G493" s="17">
        <v>74</v>
      </c>
      <c r="H493" s="17">
        <v>72073</v>
      </c>
      <c r="I493" s="17">
        <v>2207</v>
      </c>
      <c r="J493" s="17">
        <v>63067</v>
      </c>
      <c r="K493" s="6">
        <v>2023</v>
      </c>
      <c r="L493" s="12">
        <f t="shared" si="7"/>
        <v>247004</v>
      </c>
    </row>
    <row r="494" spans="1:12" x14ac:dyDescent="0.3">
      <c r="A494" s="31">
        <v>48</v>
      </c>
      <c r="B494" s="33" t="s">
        <v>80</v>
      </c>
      <c r="C494" s="33" t="s">
        <v>47</v>
      </c>
      <c r="D494" s="17">
        <v>612500</v>
      </c>
      <c r="E494" s="7">
        <v>784908</v>
      </c>
      <c r="F494" s="17">
        <v>89808</v>
      </c>
      <c r="G494" s="17">
        <v>69</v>
      </c>
      <c r="H494" s="17">
        <v>64764</v>
      </c>
      <c r="I494" s="17">
        <v>20572</v>
      </c>
      <c r="J494" s="17">
        <v>99514</v>
      </c>
      <c r="K494" s="6">
        <v>2023</v>
      </c>
      <c r="L494" s="12">
        <f t="shared" si="7"/>
        <v>234870</v>
      </c>
    </row>
    <row r="495" spans="1:12" x14ac:dyDescent="0.3">
      <c r="A495" s="31">
        <v>49</v>
      </c>
      <c r="B495" s="33" t="s">
        <v>30</v>
      </c>
      <c r="C495" s="33" t="s">
        <v>26</v>
      </c>
      <c r="D495" s="17">
        <v>612460</v>
      </c>
      <c r="E495" s="7">
        <v>661229</v>
      </c>
      <c r="F495" s="17">
        <v>77190</v>
      </c>
      <c r="G495" s="17">
        <v>66</v>
      </c>
      <c r="H495" s="17">
        <v>72389</v>
      </c>
      <c r="I495" s="17">
        <v>31172</v>
      </c>
      <c r="J495" s="17">
        <v>75554</v>
      </c>
      <c r="K495" s="6">
        <v>2023</v>
      </c>
      <c r="L495" s="12">
        <f t="shared" si="7"/>
        <v>202702</v>
      </c>
    </row>
    <row r="496" spans="1:12" x14ac:dyDescent="0.3">
      <c r="A496" s="31">
        <v>50</v>
      </c>
      <c r="B496" s="33" t="s">
        <v>59</v>
      </c>
      <c r="C496" s="33" t="s">
        <v>26</v>
      </c>
      <c r="D496" s="17">
        <v>612160</v>
      </c>
      <c r="E496" s="7">
        <v>580835</v>
      </c>
      <c r="F496" s="17">
        <v>64474</v>
      </c>
      <c r="G496" s="17">
        <v>66</v>
      </c>
      <c r="H496" s="17">
        <v>92432</v>
      </c>
      <c r="I496" s="17">
        <v>18630</v>
      </c>
      <c r="J496" s="17">
        <v>60474</v>
      </c>
      <c r="K496" s="6">
        <v>2023</v>
      </c>
      <c r="L496" s="12">
        <f t="shared" si="7"/>
        <v>184435.25</v>
      </c>
    </row>
    <row r="497" spans="1:12" x14ac:dyDescent="0.3">
      <c r="A497" s="31">
        <v>51</v>
      </c>
      <c r="B497" s="33" t="s">
        <v>124</v>
      </c>
      <c r="C497" s="33" t="s">
        <v>47</v>
      </c>
      <c r="D497" s="17">
        <v>604120</v>
      </c>
      <c r="E497" s="7">
        <v>797616</v>
      </c>
      <c r="F497" s="17">
        <v>93778</v>
      </c>
      <c r="G497" s="17">
        <v>68</v>
      </c>
      <c r="H497" s="17">
        <v>64884</v>
      </c>
      <c r="I497" s="17">
        <v>24833</v>
      </c>
      <c r="J497" s="17">
        <v>88476</v>
      </c>
      <c r="K497" s="6">
        <v>2023</v>
      </c>
      <c r="L497" s="12">
        <f t="shared" si="7"/>
        <v>239069.5</v>
      </c>
    </row>
    <row r="498" spans="1:12" x14ac:dyDescent="0.3">
      <c r="A498" s="31">
        <v>52</v>
      </c>
      <c r="B498" s="33" t="s">
        <v>45</v>
      </c>
      <c r="C498" s="33" t="s">
        <v>26</v>
      </c>
      <c r="D498" s="17">
        <v>602370</v>
      </c>
      <c r="E498" s="7">
        <v>722632</v>
      </c>
      <c r="F498" s="17">
        <v>85707</v>
      </c>
      <c r="G498" s="17">
        <v>67</v>
      </c>
      <c r="H498" s="17">
        <v>76071</v>
      </c>
      <c r="I498" s="17">
        <v>20975</v>
      </c>
      <c r="J498" s="17">
        <v>85303</v>
      </c>
      <c r="K498" s="6">
        <v>2023</v>
      </c>
      <c r="L498" s="12">
        <f t="shared" si="7"/>
        <v>221102.5</v>
      </c>
    </row>
    <row r="499" spans="1:12" x14ac:dyDescent="0.3">
      <c r="A499" s="31">
        <v>53</v>
      </c>
      <c r="B499" s="33" t="s">
        <v>125</v>
      </c>
      <c r="C499" s="33" t="s">
        <v>26</v>
      </c>
      <c r="D499" s="17">
        <v>602250</v>
      </c>
      <c r="E499" s="7">
        <v>506831</v>
      </c>
      <c r="F499" s="17">
        <v>66162</v>
      </c>
      <c r="G499" s="17">
        <v>64</v>
      </c>
      <c r="H499" s="17">
        <v>79509</v>
      </c>
      <c r="I499" s="17">
        <v>44756</v>
      </c>
      <c r="J499" s="17">
        <v>88992</v>
      </c>
      <c r="K499" s="6">
        <v>2023</v>
      </c>
      <c r="L499" s="12">
        <f t="shared" si="7"/>
        <v>163125.5</v>
      </c>
    </row>
    <row r="500" spans="1:12" x14ac:dyDescent="0.3">
      <c r="A500" s="31">
        <v>54</v>
      </c>
      <c r="B500" s="33" t="s">
        <v>61</v>
      </c>
      <c r="C500" s="33" t="s">
        <v>62</v>
      </c>
      <c r="D500" s="17">
        <v>601430</v>
      </c>
      <c r="E500" s="7">
        <v>557893</v>
      </c>
      <c r="F500" s="17">
        <v>83191</v>
      </c>
      <c r="G500" s="17">
        <v>65</v>
      </c>
      <c r="H500" s="17">
        <v>95948</v>
      </c>
      <c r="I500" s="17">
        <v>61580</v>
      </c>
      <c r="J500" s="17">
        <v>62845</v>
      </c>
      <c r="K500" s="6">
        <v>2023</v>
      </c>
      <c r="L500" s="12">
        <f t="shared" si="7"/>
        <v>184258</v>
      </c>
    </row>
    <row r="501" spans="1:12" x14ac:dyDescent="0.3">
      <c r="A501" s="31">
        <v>55</v>
      </c>
      <c r="B501" s="33" t="s">
        <v>79</v>
      </c>
      <c r="C501" s="33" t="s">
        <v>39</v>
      </c>
      <c r="D501" s="17">
        <v>601230</v>
      </c>
      <c r="E501" s="7">
        <v>756920</v>
      </c>
      <c r="F501" s="17">
        <v>71315</v>
      </c>
      <c r="G501" s="17">
        <v>66</v>
      </c>
      <c r="H501" s="17">
        <v>85394</v>
      </c>
      <c r="I501" s="17">
        <v>52677</v>
      </c>
      <c r="J501" s="17">
        <v>78209</v>
      </c>
      <c r="K501" s="6">
        <v>2023</v>
      </c>
      <c r="L501" s="12">
        <f t="shared" si="7"/>
        <v>228407.25</v>
      </c>
    </row>
    <row r="502" spans="1:12" x14ac:dyDescent="0.3">
      <c r="A502" s="31">
        <v>56</v>
      </c>
      <c r="B502" s="33" t="s">
        <v>108</v>
      </c>
      <c r="C502" s="33" t="s">
        <v>12</v>
      </c>
      <c r="D502" s="17">
        <v>596800</v>
      </c>
      <c r="E502" s="7">
        <v>799242</v>
      </c>
      <c r="F502" s="17">
        <v>83693</v>
      </c>
      <c r="G502" s="17">
        <v>71</v>
      </c>
      <c r="H502" s="17">
        <v>89828</v>
      </c>
      <c r="I502" s="17">
        <v>7408</v>
      </c>
      <c r="J502" s="17">
        <v>93485</v>
      </c>
      <c r="K502" s="6">
        <v>2023</v>
      </c>
      <c r="L502" s="12">
        <f t="shared" si="7"/>
        <v>243190.75</v>
      </c>
    </row>
    <row r="503" spans="1:12" x14ac:dyDescent="0.3">
      <c r="A503" s="31">
        <v>57</v>
      </c>
      <c r="B503" s="33" t="s">
        <v>65</v>
      </c>
      <c r="C503" s="33" t="s">
        <v>55</v>
      </c>
      <c r="D503" s="17">
        <v>595110</v>
      </c>
      <c r="E503" s="7">
        <v>842289</v>
      </c>
      <c r="F503" s="17">
        <v>73343</v>
      </c>
      <c r="G503" s="17">
        <v>74</v>
      </c>
      <c r="H503" s="17">
        <v>57814</v>
      </c>
      <c r="I503" s="17">
        <v>26482</v>
      </c>
      <c r="J503" s="17">
        <v>70892</v>
      </c>
      <c r="K503" s="6">
        <v>2023</v>
      </c>
      <c r="L503" s="12">
        <f t="shared" si="7"/>
        <v>243361.5</v>
      </c>
    </row>
    <row r="504" spans="1:12" x14ac:dyDescent="0.3">
      <c r="A504" s="31">
        <v>58</v>
      </c>
      <c r="B504" s="33" t="s">
        <v>122</v>
      </c>
      <c r="C504" s="33" t="s">
        <v>24</v>
      </c>
      <c r="D504" s="17">
        <v>593090</v>
      </c>
      <c r="E504" s="7">
        <v>776334</v>
      </c>
      <c r="F504" s="17">
        <v>76983</v>
      </c>
      <c r="G504" s="17">
        <v>71</v>
      </c>
      <c r="H504" s="17">
        <v>32130</v>
      </c>
      <c r="I504" s="17">
        <v>1872</v>
      </c>
      <c r="J504" s="17">
        <v>82647</v>
      </c>
      <c r="K504" s="6">
        <v>2023</v>
      </c>
      <c r="L504" s="12">
        <f t="shared" si="7"/>
        <v>221361.75</v>
      </c>
    </row>
    <row r="505" spans="1:12" x14ac:dyDescent="0.3">
      <c r="A505" s="31">
        <v>59</v>
      </c>
      <c r="B505" s="33" t="s">
        <v>89</v>
      </c>
      <c r="C505" s="33" t="s">
        <v>90</v>
      </c>
      <c r="D505" s="17">
        <v>590230</v>
      </c>
      <c r="E505" s="7">
        <v>722373</v>
      </c>
      <c r="F505" s="17">
        <v>85309</v>
      </c>
      <c r="G505" s="17">
        <v>64</v>
      </c>
      <c r="H505" s="17">
        <v>74392</v>
      </c>
      <c r="I505" s="17">
        <v>28772</v>
      </c>
      <c r="J505" s="17">
        <v>80308</v>
      </c>
      <c r="K505" s="6">
        <v>2023</v>
      </c>
      <c r="L505" s="12">
        <f t="shared" si="7"/>
        <v>220518.5</v>
      </c>
    </row>
    <row r="506" spans="1:12" x14ac:dyDescent="0.3">
      <c r="A506" s="31">
        <v>60</v>
      </c>
      <c r="B506" s="33" t="s">
        <v>50</v>
      </c>
      <c r="C506" s="33" t="s">
        <v>39</v>
      </c>
      <c r="D506" s="17">
        <v>584300</v>
      </c>
      <c r="E506" s="7">
        <v>688830</v>
      </c>
      <c r="F506" s="17">
        <v>82996</v>
      </c>
      <c r="G506" s="17">
        <v>68</v>
      </c>
      <c r="H506" s="17">
        <v>80842</v>
      </c>
      <c r="I506" s="17">
        <v>69105</v>
      </c>
      <c r="J506" s="17">
        <v>97612</v>
      </c>
      <c r="K506" s="6">
        <v>2023</v>
      </c>
      <c r="L506" s="12">
        <f t="shared" si="7"/>
        <v>213167</v>
      </c>
    </row>
    <row r="507" spans="1:12" x14ac:dyDescent="0.3">
      <c r="A507" s="31">
        <v>61</v>
      </c>
      <c r="B507" s="33" t="s">
        <v>120</v>
      </c>
      <c r="C507" s="33" t="s">
        <v>55</v>
      </c>
      <c r="D507" s="17">
        <v>584020</v>
      </c>
      <c r="E507" s="7">
        <v>627027</v>
      </c>
      <c r="F507" s="17">
        <v>92248</v>
      </c>
      <c r="G507" s="17">
        <v>60</v>
      </c>
      <c r="H507" s="17">
        <v>55112</v>
      </c>
      <c r="I507" s="17">
        <v>56607</v>
      </c>
      <c r="J507" s="17">
        <v>89736</v>
      </c>
      <c r="K507" s="6">
        <v>2023</v>
      </c>
      <c r="L507" s="12">
        <f t="shared" si="7"/>
        <v>193596.75</v>
      </c>
    </row>
    <row r="508" spans="1:12" x14ac:dyDescent="0.3">
      <c r="A508" s="31">
        <v>62</v>
      </c>
      <c r="B508" s="33" t="s">
        <v>96</v>
      </c>
      <c r="C508" s="33" t="s">
        <v>62</v>
      </c>
      <c r="D508" s="17">
        <v>582530</v>
      </c>
      <c r="E508" s="7">
        <v>482472</v>
      </c>
      <c r="F508" s="17">
        <v>88867</v>
      </c>
      <c r="G508" s="17">
        <v>67</v>
      </c>
      <c r="H508" s="17">
        <v>95323</v>
      </c>
      <c r="I508" s="17">
        <v>55447</v>
      </c>
      <c r="J508" s="17">
        <v>96769</v>
      </c>
      <c r="K508" s="6">
        <v>2023</v>
      </c>
      <c r="L508" s="12">
        <f t="shared" si="7"/>
        <v>166665.5</v>
      </c>
    </row>
    <row r="509" spans="1:12" x14ac:dyDescent="0.3">
      <c r="A509" s="31">
        <v>63</v>
      </c>
      <c r="B509" s="33" t="s">
        <v>70</v>
      </c>
      <c r="C509" s="33" t="s">
        <v>47</v>
      </c>
      <c r="D509" s="17">
        <v>581920</v>
      </c>
      <c r="E509" s="7">
        <v>647629</v>
      </c>
      <c r="F509" s="17">
        <v>80365</v>
      </c>
      <c r="G509" s="17">
        <v>65</v>
      </c>
      <c r="H509" s="17">
        <v>79010</v>
      </c>
      <c r="I509" s="17">
        <v>22171</v>
      </c>
      <c r="J509" s="17">
        <v>96394</v>
      </c>
      <c r="K509" s="6">
        <v>2023</v>
      </c>
      <c r="L509" s="12">
        <f t="shared" si="7"/>
        <v>201751</v>
      </c>
    </row>
    <row r="510" spans="1:12" x14ac:dyDescent="0.3">
      <c r="A510" s="31">
        <v>64</v>
      </c>
      <c r="B510" s="33" t="s">
        <v>104</v>
      </c>
      <c r="C510" s="33" t="s">
        <v>55</v>
      </c>
      <c r="D510" s="17">
        <v>581790</v>
      </c>
      <c r="E510" s="7">
        <v>686644</v>
      </c>
      <c r="F510" s="17">
        <v>77100</v>
      </c>
      <c r="G510" s="17">
        <v>69</v>
      </c>
      <c r="H510" s="17">
        <v>86285</v>
      </c>
      <c r="I510" s="17">
        <v>27174</v>
      </c>
      <c r="J510" s="17">
        <v>74219</v>
      </c>
      <c r="K510" s="6">
        <v>2023</v>
      </c>
      <c r="L510" s="12">
        <f t="shared" si="7"/>
        <v>212507.25</v>
      </c>
    </row>
    <row r="511" spans="1:12" x14ac:dyDescent="0.3">
      <c r="A511" s="31">
        <v>65</v>
      </c>
      <c r="B511" s="33" t="s">
        <v>94</v>
      </c>
      <c r="C511" s="33" t="s">
        <v>39</v>
      </c>
      <c r="D511" s="17">
        <v>576330</v>
      </c>
      <c r="E511" s="7">
        <v>613089</v>
      </c>
      <c r="F511" s="17">
        <v>74830</v>
      </c>
      <c r="G511" s="17">
        <v>66</v>
      </c>
      <c r="H511" s="17">
        <v>96073</v>
      </c>
      <c r="I511" s="17">
        <v>31901</v>
      </c>
      <c r="J511" s="17">
        <v>78257</v>
      </c>
      <c r="K511" s="6">
        <v>2023</v>
      </c>
      <c r="L511" s="12">
        <f t="shared" si="7"/>
        <v>195998</v>
      </c>
    </row>
    <row r="512" spans="1:12" x14ac:dyDescent="0.3">
      <c r="A512" s="31">
        <v>66</v>
      </c>
      <c r="B512" s="33" t="s">
        <v>71</v>
      </c>
      <c r="C512" s="33" t="s">
        <v>26</v>
      </c>
      <c r="D512" s="17">
        <v>573780</v>
      </c>
      <c r="E512" s="7">
        <v>649413</v>
      </c>
      <c r="F512" s="17">
        <v>88074</v>
      </c>
      <c r="G512" s="17">
        <v>66</v>
      </c>
      <c r="H512" s="17">
        <v>87829</v>
      </c>
      <c r="I512" s="17">
        <v>35005</v>
      </c>
      <c r="J512" s="17">
        <v>88953</v>
      </c>
      <c r="K512" s="6">
        <v>2023</v>
      </c>
      <c r="L512" s="12">
        <f t="shared" si="7"/>
        <v>206329</v>
      </c>
    </row>
    <row r="513" spans="1:12" x14ac:dyDescent="0.3">
      <c r="A513" s="31">
        <v>67</v>
      </c>
      <c r="B513" s="33" t="s">
        <v>102</v>
      </c>
      <c r="C513" s="33" t="s">
        <v>47</v>
      </c>
      <c r="D513" s="17">
        <v>572220</v>
      </c>
      <c r="E513" s="7">
        <v>698795</v>
      </c>
      <c r="F513" s="17">
        <v>85507</v>
      </c>
      <c r="G513" s="17">
        <v>67</v>
      </c>
      <c r="H513" s="17">
        <v>73022</v>
      </c>
      <c r="I513" s="17">
        <v>40445</v>
      </c>
      <c r="J513" s="17">
        <v>89189</v>
      </c>
      <c r="K513" s="6">
        <v>2023</v>
      </c>
      <c r="L513" s="12">
        <f t="shared" si="7"/>
        <v>214331</v>
      </c>
    </row>
    <row r="514" spans="1:12" x14ac:dyDescent="0.3">
      <c r="A514" s="31">
        <v>68</v>
      </c>
      <c r="B514" s="33" t="s">
        <v>83</v>
      </c>
      <c r="C514" s="33" t="s">
        <v>26</v>
      </c>
      <c r="D514" s="17">
        <v>570270</v>
      </c>
      <c r="E514" s="7">
        <v>593143</v>
      </c>
      <c r="F514" s="17">
        <v>82031</v>
      </c>
      <c r="G514" s="17">
        <v>67</v>
      </c>
      <c r="H514" s="17">
        <v>76020</v>
      </c>
      <c r="I514" s="17">
        <v>18840</v>
      </c>
      <c r="J514" s="17">
        <v>93100</v>
      </c>
      <c r="K514" s="6">
        <v>2023</v>
      </c>
      <c r="L514" s="12">
        <f t="shared" si="7"/>
        <v>187798.5</v>
      </c>
    </row>
    <row r="515" spans="1:12" x14ac:dyDescent="0.3">
      <c r="A515" s="31">
        <v>69</v>
      </c>
      <c r="B515" s="33" t="s">
        <v>69</v>
      </c>
      <c r="C515" s="33" t="s">
        <v>26</v>
      </c>
      <c r="D515" s="17">
        <v>568430</v>
      </c>
      <c r="E515" s="7">
        <v>563795</v>
      </c>
      <c r="F515" s="17">
        <v>73301</v>
      </c>
      <c r="G515" s="17">
        <v>64</v>
      </c>
      <c r="H515" s="17">
        <v>83951</v>
      </c>
      <c r="I515" s="17">
        <v>24382</v>
      </c>
      <c r="J515" s="17">
        <v>89362</v>
      </c>
      <c r="K515" s="6">
        <v>2023</v>
      </c>
      <c r="L515" s="12">
        <f t="shared" ref="L515:L578" si="8">AVERAGE(E515,F515,H515,)</f>
        <v>180261.75</v>
      </c>
    </row>
    <row r="516" spans="1:12" x14ac:dyDescent="0.3">
      <c r="A516" s="31">
        <v>70</v>
      </c>
      <c r="B516" s="33" t="s">
        <v>82</v>
      </c>
      <c r="C516" s="33" t="s">
        <v>62</v>
      </c>
      <c r="D516" s="17">
        <v>566070</v>
      </c>
      <c r="E516" s="7">
        <v>763550</v>
      </c>
      <c r="F516" s="17">
        <v>85360</v>
      </c>
      <c r="G516" s="17">
        <v>65</v>
      </c>
      <c r="H516" s="17">
        <v>58253</v>
      </c>
      <c r="I516" s="17">
        <v>28501</v>
      </c>
      <c r="J516" s="17">
        <v>83694</v>
      </c>
      <c r="K516" s="6">
        <v>2023</v>
      </c>
      <c r="L516" s="12">
        <f t="shared" si="8"/>
        <v>226790.75</v>
      </c>
    </row>
    <row r="517" spans="1:12" x14ac:dyDescent="0.3">
      <c r="A517" s="31">
        <v>71</v>
      </c>
      <c r="B517" s="33" t="s">
        <v>116</v>
      </c>
      <c r="C517" s="33" t="s">
        <v>47</v>
      </c>
      <c r="D517" s="17">
        <v>563250</v>
      </c>
      <c r="E517" s="7">
        <v>666703</v>
      </c>
      <c r="F517" s="17">
        <v>84056</v>
      </c>
      <c r="G517" s="17">
        <v>67</v>
      </c>
      <c r="H517" s="17">
        <v>62870</v>
      </c>
      <c r="I517" s="17">
        <v>58636</v>
      </c>
      <c r="J517" s="17">
        <v>98525</v>
      </c>
      <c r="K517" s="6">
        <v>2023</v>
      </c>
      <c r="L517" s="12">
        <f t="shared" si="8"/>
        <v>203407.25</v>
      </c>
    </row>
    <row r="518" spans="1:12" x14ac:dyDescent="0.3">
      <c r="A518" s="31">
        <v>72</v>
      </c>
      <c r="B518" s="33" t="s">
        <v>49</v>
      </c>
      <c r="C518" s="33" t="s">
        <v>26</v>
      </c>
      <c r="D518" s="17">
        <v>563040</v>
      </c>
      <c r="E518" s="7">
        <v>661594</v>
      </c>
      <c r="F518" s="17">
        <v>74912</v>
      </c>
      <c r="G518" s="17">
        <v>69</v>
      </c>
      <c r="H518" s="17">
        <v>72895</v>
      </c>
      <c r="I518" s="17">
        <v>19087</v>
      </c>
      <c r="J518" s="17">
        <v>87797</v>
      </c>
      <c r="K518" s="6">
        <v>2023</v>
      </c>
      <c r="L518" s="12">
        <f t="shared" si="8"/>
        <v>202350.25</v>
      </c>
    </row>
    <row r="519" spans="1:12" x14ac:dyDescent="0.3">
      <c r="A519" s="31">
        <v>73</v>
      </c>
      <c r="B519" s="33" t="s">
        <v>118</v>
      </c>
      <c r="C519" s="33" t="s">
        <v>26</v>
      </c>
      <c r="D519" s="17">
        <v>556890</v>
      </c>
      <c r="E519" s="7">
        <v>698469</v>
      </c>
      <c r="F519" s="17">
        <v>75753</v>
      </c>
      <c r="G519" s="17">
        <v>64</v>
      </c>
      <c r="H519" s="17">
        <v>80788</v>
      </c>
      <c r="I519" s="17">
        <v>19790</v>
      </c>
      <c r="J519" s="17">
        <v>65223</v>
      </c>
      <c r="K519" s="6">
        <v>2023</v>
      </c>
      <c r="L519" s="12">
        <f t="shared" si="8"/>
        <v>213752.5</v>
      </c>
    </row>
    <row r="520" spans="1:12" x14ac:dyDescent="0.3">
      <c r="A520" s="31">
        <v>74</v>
      </c>
      <c r="B520" s="33" t="s">
        <v>66</v>
      </c>
      <c r="C520" s="33" t="s">
        <v>26</v>
      </c>
      <c r="D520" s="17">
        <v>555890</v>
      </c>
      <c r="E520" s="7">
        <v>610362</v>
      </c>
      <c r="F520" s="17">
        <v>72430</v>
      </c>
      <c r="G520" s="17">
        <v>69</v>
      </c>
      <c r="H520" s="17">
        <v>72544</v>
      </c>
      <c r="I520" s="17">
        <v>18660</v>
      </c>
      <c r="J520" s="17">
        <v>87672</v>
      </c>
      <c r="K520" s="6">
        <v>2023</v>
      </c>
      <c r="L520" s="12">
        <f t="shared" si="8"/>
        <v>188834</v>
      </c>
    </row>
    <row r="521" spans="1:12" x14ac:dyDescent="0.3">
      <c r="A521" s="31">
        <v>75</v>
      </c>
      <c r="B521" s="33" t="s">
        <v>76</v>
      </c>
      <c r="C521" s="33" t="s">
        <v>26</v>
      </c>
      <c r="D521" s="17">
        <v>552590</v>
      </c>
      <c r="E521" s="7">
        <v>631771</v>
      </c>
      <c r="F521" s="17">
        <v>71215</v>
      </c>
      <c r="G521" s="17">
        <v>70</v>
      </c>
      <c r="H521" s="17">
        <v>71189</v>
      </c>
      <c r="I521" s="17">
        <v>17237</v>
      </c>
      <c r="J521" s="17">
        <v>95226</v>
      </c>
      <c r="K521" s="6">
        <v>2023</v>
      </c>
      <c r="L521" s="12">
        <f t="shared" si="8"/>
        <v>193543.75</v>
      </c>
    </row>
    <row r="522" spans="1:12" x14ac:dyDescent="0.3">
      <c r="A522" s="31">
        <v>76</v>
      </c>
      <c r="B522" s="33" t="s">
        <v>110</v>
      </c>
      <c r="C522" s="33" t="s">
        <v>39</v>
      </c>
      <c r="D522" s="17">
        <v>552290</v>
      </c>
      <c r="E522" s="7">
        <v>562837</v>
      </c>
      <c r="F522" s="17">
        <v>68402</v>
      </c>
      <c r="G522" s="17">
        <v>62</v>
      </c>
      <c r="H522" s="17">
        <v>92607</v>
      </c>
      <c r="I522" s="17">
        <v>24742</v>
      </c>
      <c r="J522" s="17">
        <v>74840</v>
      </c>
      <c r="K522" s="6">
        <v>2023</v>
      </c>
      <c r="L522" s="12">
        <f t="shared" si="8"/>
        <v>180961.5</v>
      </c>
    </row>
    <row r="523" spans="1:12" x14ac:dyDescent="0.3">
      <c r="A523" s="31">
        <v>77</v>
      </c>
      <c r="B523" s="33" t="s">
        <v>154</v>
      </c>
      <c r="C523" s="33" t="s">
        <v>47</v>
      </c>
      <c r="D523" s="17">
        <v>546610</v>
      </c>
      <c r="E523" s="7">
        <v>743485</v>
      </c>
      <c r="F523" s="17">
        <v>89974</v>
      </c>
      <c r="G523" s="17">
        <v>66</v>
      </c>
      <c r="H523" s="17">
        <v>72252</v>
      </c>
      <c r="I523" s="17">
        <v>25132</v>
      </c>
      <c r="J523" s="17">
        <v>97687</v>
      </c>
      <c r="K523" s="6">
        <v>2023</v>
      </c>
      <c r="L523" s="12">
        <f t="shared" si="8"/>
        <v>226427.75</v>
      </c>
    </row>
    <row r="524" spans="1:12" x14ac:dyDescent="0.3">
      <c r="A524" s="31">
        <v>78</v>
      </c>
      <c r="B524" s="33" t="s">
        <v>141</v>
      </c>
      <c r="C524" s="33" t="s">
        <v>99</v>
      </c>
      <c r="D524" s="17">
        <v>536030</v>
      </c>
      <c r="E524" s="7">
        <v>445000</v>
      </c>
      <c r="F524" s="17">
        <v>63400</v>
      </c>
      <c r="G524" s="17">
        <v>62</v>
      </c>
      <c r="H524" s="17">
        <v>73531</v>
      </c>
      <c r="I524" s="17">
        <v>50939</v>
      </c>
      <c r="J524" s="17">
        <v>81390</v>
      </c>
      <c r="K524" s="6">
        <v>2023</v>
      </c>
      <c r="L524" s="12">
        <f t="shared" si="8"/>
        <v>145482.75</v>
      </c>
    </row>
    <row r="525" spans="1:12" x14ac:dyDescent="0.3">
      <c r="A525" s="31">
        <v>79</v>
      </c>
      <c r="B525" s="33" t="s">
        <v>147</v>
      </c>
      <c r="C525" s="33" t="s">
        <v>62</v>
      </c>
      <c r="D525" s="17">
        <v>534170</v>
      </c>
      <c r="E525" s="7">
        <v>666532</v>
      </c>
      <c r="F525" s="17">
        <v>70009</v>
      </c>
      <c r="G525" s="17">
        <v>68</v>
      </c>
      <c r="H525" s="17">
        <v>71402</v>
      </c>
      <c r="I525" s="17">
        <v>12596</v>
      </c>
      <c r="J525" s="17">
        <v>71435</v>
      </c>
      <c r="K525" s="6">
        <v>2023</v>
      </c>
      <c r="L525" s="12">
        <f t="shared" si="8"/>
        <v>201985.75</v>
      </c>
    </row>
    <row r="526" spans="1:12" x14ac:dyDescent="0.3">
      <c r="A526" s="31">
        <v>80</v>
      </c>
      <c r="B526" s="33" t="s">
        <v>126</v>
      </c>
      <c r="C526" s="33" t="s">
        <v>62</v>
      </c>
      <c r="D526" s="17">
        <v>532980</v>
      </c>
      <c r="E526" s="7">
        <v>441825</v>
      </c>
      <c r="F526" s="17">
        <v>77080</v>
      </c>
      <c r="G526" s="17">
        <v>62</v>
      </c>
      <c r="H526" s="17">
        <v>77680</v>
      </c>
      <c r="I526" s="17">
        <v>24758</v>
      </c>
      <c r="J526" s="17">
        <v>47954</v>
      </c>
      <c r="K526" s="6">
        <v>2023</v>
      </c>
      <c r="L526" s="12">
        <f t="shared" si="8"/>
        <v>149146.25</v>
      </c>
    </row>
    <row r="527" spans="1:12" x14ac:dyDescent="0.3">
      <c r="A527" s="31">
        <v>81</v>
      </c>
      <c r="B527" s="33" t="s">
        <v>86</v>
      </c>
      <c r="C527" s="33" t="s">
        <v>24</v>
      </c>
      <c r="D527" s="17">
        <v>532910</v>
      </c>
      <c r="E527" s="7">
        <v>615254</v>
      </c>
      <c r="F527" s="17">
        <v>80144</v>
      </c>
      <c r="G527" s="17">
        <v>67</v>
      </c>
      <c r="H527" s="17">
        <v>32703</v>
      </c>
      <c r="I527" s="17">
        <v>17425</v>
      </c>
      <c r="J527" s="17">
        <v>72900</v>
      </c>
      <c r="K527" s="6">
        <v>2023</v>
      </c>
      <c r="L527" s="12">
        <f t="shared" si="8"/>
        <v>182025.25</v>
      </c>
    </row>
    <row r="528" spans="1:12" x14ac:dyDescent="0.3">
      <c r="A528" s="31">
        <v>82</v>
      </c>
      <c r="B528" s="33" t="s">
        <v>185</v>
      </c>
      <c r="C528" s="33" t="s">
        <v>55</v>
      </c>
      <c r="D528" s="17">
        <v>530850</v>
      </c>
      <c r="E528" s="7">
        <v>886926</v>
      </c>
      <c r="F528" s="17">
        <v>74172</v>
      </c>
      <c r="G528" s="17">
        <v>77</v>
      </c>
      <c r="H528" s="17">
        <v>52727</v>
      </c>
      <c r="I528" s="17">
        <v>29069</v>
      </c>
      <c r="J528" s="17">
        <v>30460</v>
      </c>
      <c r="K528" s="6">
        <v>2023</v>
      </c>
      <c r="L528" s="12">
        <f t="shared" si="8"/>
        <v>253456.25</v>
      </c>
    </row>
    <row r="529" spans="1:12" x14ac:dyDescent="0.3">
      <c r="A529" s="31">
        <v>83</v>
      </c>
      <c r="B529" s="33" t="s">
        <v>115</v>
      </c>
      <c r="C529" s="33" t="s">
        <v>47</v>
      </c>
      <c r="D529" s="17">
        <v>527730</v>
      </c>
      <c r="E529" s="7">
        <v>658829</v>
      </c>
      <c r="F529" s="17">
        <v>58729</v>
      </c>
      <c r="G529" s="17">
        <v>69</v>
      </c>
      <c r="H529" s="17">
        <v>71181</v>
      </c>
      <c r="I529" s="17">
        <v>31482</v>
      </c>
      <c r="J529" s="17">
        <v>93487</v>
      </c>
      <c r="K529" s="6">
        <v>2023</v>
      </c>
      <c r="L529" s="12">
        <f t="shared" si="8"/>
        <v>197184.75</v>
      </c>
    </row>
    <row r="530" spans="1:12" x14ac:dyDescent="0.3">
      <c r="A530" s="31">
        <v>84</v>
      </c>
      <c r="B530" s="33" t="s">
        <v>93</v>
      </c>
      <c r="C530" s="33" t="s">
        <v>39</v>
      </c>
      <c r="D530" s="17">
        <v>527690</v>
      </c>
      <c r="E530" s="7">
        <v>629103</v>
      </c>
      <c r="F530" s="17">
        <v>72154</v>
      </c>
      <c r="G530" s="17">
        <v>63</v>
      </c>
      <c r="H530" s="17">
        <v>85978</v>
      </c>
      <c r="I530" s="17">
        <v>100000</v>
      </c>
      <c r="J530" s="17">
        <v>93218</v>
      </c>
      <c r="K530" s="6">
        <v>2023</v>
      </c>
      <c r="L530" s="12">
        <f t="shared" si="8"/>
        <v>196808.75</v>
      </c>
    </row>
    <row r="531" spans="1:12" x14ac:dyDescent="0.3">
      <c r="A531" s="31">
        <v>85</v>
      </c>
      <c r="B531" s="33" t="s">
        <v>133</v>
      </c>
      <c r="C531" s="33" t="s">
        <v>90</v>
      </c>
      <c r="D531" s="17">
        <v>527460</v>
      </c>
      <c r="E531" s="7">
        <v>644165</v>
      </c>
      <c r="F531" s="17">
        <v>88162</v>
      </c>
      <c r="G531" s="17">
        <v>57</v>
      </c>
      <c r="H531" s="17">
        <v>60099</v>
      </c>
      <c r="I531" s="17">
        <v>21338</v>
      </c>
      <c r="J531" s="17">
        <v>96558</v>
      </c>
      <c r="K531" s="6">
        <v>2023</v>
      </c>
      <c r="L531" s="12">
        <f t="shared" si="8"/>
        <v>198106.5</v>
      </c>
    </row>
    <row r="532" spans="1:12" x14ac:dyDescent="0.3">
      <c r="A532" s="31">
        <v>86</v>
      </c>
      <c r="B532" s="33" t="s">
        <v>159</v>
      </c>
      <c r="C532" s="33" t="s">
        <v>90</v>
      </c>
      <c r="D532" s="17">
        <v>526710</v>
      </c>
      <c r="E532" s="7">
        <v>418781</v>
      </c>
      <c r="F532" s="17">
        <v>41059</v>
      </c>
      <c r="G532" s="17">
        <v>57</v>
      </c>
      <c r="H532" s="17">
        <v>60093</v>
      </c>
      <c r="I532" s="17">
        <v>31812</v>
      </c>
      <c r="J532" s="17">
        <v>75746</v>
      </c>
      <c r="K532" s="6">
        <v>2023</v>
      </c>
      <c r="L532" s="12">
        <f t="shared" si="8"/>
        <v>129983.25</v>
      </c>
    </row>
    <row r="533" spans="1:12" x14ac:dyDescent="0.3">
      <c r="A533" s="31">
        <v>87</v>
      </c>
      <c r="B533" s="33" t="s">
        <v>191</v>
      </c>
      <c r="C533" s="33" t="s">
        <v>47</v>
      </c>
      <c r="D533" s="17">
        <v>525360</v>
      </c>
      <c r="E533" s="7">
        <v>680954</v>
      </c>
      <c r="F533" s="17">
        <v>72273</v>
      </c>
      <c r="G533" s="17">
        <v>67</v>
      </c>
      <c r="H533" s="17">
        <v>66807</v>
      </c>
      <c r="I533" s="17">
        <v>49069</v>
      </c>
      <c r="J533" s="17">
        <v>96504</v>
      </c>
      <c r="K533" s="6">
        <v>2023</v>
      </c>
      <c r="L533" s="12">
        <f t="shared" si="8"/>
        <v>205008.5</v>
      </c>
    </row>
    <row r="534" spans="1:12" x14ac:dyDescent="0.3">
      <c r="A534" s="31">
        <v>88</v>
      </c>
      <c r="B534" s="33" t="s">
        <v>37</v>
      </c>
      <c r="C534" s="33" t="s">
        <v>26</v>
      </c>
      <c r="D534" s="17">
        <v>521060</v>
      </c>
      <c r="E534" s="7">
        <v>0</v>
      </c>
      <c r="F534" s="17">
        <v>77587</v>
      </c>
      <c r="G534" s="17">
        <v>64</v>
      </c>
      <c r="H534" s="17">
        <v>47789</v>
      </c>
      <c r="I534" s="17">
        <v>48704</v>
      </c>
      <c r="J534" s="17">
        <v>84973</v>
      </c>
      <c r="K534" s="6">
        <v>2023</v>
      </c>
      <c r="L534" s="12">
        <f t="shared" si="8"/>
        <v>31344</v>
      </c>
    </row>
    <row r="535" spans="1:12" x14ac:dyDescent="0.3">
      <c r="A535" s="31">
        <v>89</v>
      </c>
      <c r="B535" s="33" t="s">
        <v>119</v>
      </c>
      <c r="C535" s="33" t="s">
        <v>55</v>
      </c>
      <c r="D535" s="17">
        <v>511070</v>
      </c>
      <c r="E535" s="7">
        <v>560176</v>
      </c>
      <c r="F535" s="17">
        <v>52653</v>
      </c>
      <c r="G535" s="17">
        <v>61</v>
      </c>
      <c r="H535" s="17">
        <v>92660</v>
      </c>
      <c r="I535" s="17">
        <v>43946</v>
      </c>
      <c r="J535" s="17">
        <v>71063</v>
      </c>
      <c r="K535" s="6">
        <v>2023</v>
      </c>
      <c r="L535" s="12">
        <f t="shared" si="8"/>
        <v>176372.25</v>
      </c>
    </row>
    <row r="536" spans="1:12" x14ac:dyDescent="0.3">
      <c r="A536" s="31">
        <v>90</v>
      </c>
      <c r="B536" s="33" t="s">
        <v>150</v>
      </c>
      <c r="C536" s="33" t="s">
        <v>62</v>
      </c>
      <c r="D536" s="17">
        <v>510910</v>
      </c>
      <c r="E536" s="7">
        <v>671676</v>
      </c>
      <c r="F536" s="17">
        <v>58458</v>
      </c>
      <c r="G536" s="17">
        <v>65</v>
      </c>
      <c r="H536" s="17">
        <v>69826</v>
      </c>
      <c r="I536" s="17">
        <v>0</v>
      </c>
      <c r="J536" s="17">
        <v>64214</v>
      </c>
      <c r="K536" s="6">
        <v>2023</v>
      </c>
      <c r="L536" s="12">
        <f t="shared" si="8"/>
        <v>199990</v>
      </c>
    </row>
    <row r="537" spans="1:12" x14ac:dyDescent="0.3">
      <c r="A537" s="31">
        <v>91</v>
      </c>
      <c r="B537" s="33" t="s">
        <v>170</v>
      </c>
      <c r="C537" s="33" t="s">
        <v>90</v>
      </c>
      <c r="D537" s="17">
        <v>507170</v>
      </c>
      <c r="E537" s="7">
        <v>383773</v>
      </c>
      <c r="F537" s="17">
        <v>47925</v>
      </c>
      <c r="G537" s="17">
        <v>54</v>
      </c>
      <c r="H537" s="17">
        <v>47791</v>
      </c>
      <c r="I537" s="17">
        <v>48300</v>
      </c>
      <c r="J537" s="17">
        <v>81849</v>
      </c>
      <c r="K537" s="6">
        <v>2023</v>
      </c>
      <c r="L537" s="12">
        <f t="shared" si="8"/>
        <v>119872.25</v>
      </c>
    </row>
    <row r="538" spans="1:12" x14ac:dyDescent="0.3">
      <c r="A538" s="31">
        <v>92</v>
      </c>
      <c r="B538" s="33" t="s">
        <v>131</v>
      </c>
      <c r="C538" s="33" t="s">
        <v>62</v>
      </c>
      <c r="D538" s="17">
        <v>507140</v>
      </c>
      <c r="E538" s="7">
        <v>617455</v>
      </c>
      <c r="F538" s="17">
        <v>83623</v>
      </c>
      <c r="G538" s="17">
        <v>65</v>
      </c>
      <c r="H538" s="17">
        <v>71371</v>
      </c>
      <c r="I538" s="17">
        <v>62952</v>
      </c>
      <c r="J538" s="17">
        <v>97145</v>
      </c>
      <c r="K538" s="6">
        <v>2023</v>
      </c>
      <c r="L538" s="12">
        <f t="shared" si="8"/>
        <v>193112.25</v>
      </c>
    </row>
    <row r="539" spans="1:12" x14ac:dyDescent="0.3">
      <c r="A539" s="31">
        <v>93</v>
      </c>
      <c r="B539" s="33" t="s">
        <v>171</v>
      </c>
      <c r="C539" s="33" t="s">
        <v>90</v>
      </c>
      <c r="D539" s="17">
        <v>505270</v>
      </c>
      <c r="E539" s="7">
        <v>497236</v>
      </c>
      <c r="F539" s="17">
        <v>36028</v>
      </c>
      <c r="G539" s="17">
        <v>56</v>
      </c>
      <c r="H539" s="17">
        <v>60544</v>
      </c>
      <c r="I539" s="17">
        <v>32724</v>
      </c>
      <c r="J539" s="17">
        <v>76597</v>
      </c>
      <c r="K539" s="6">
        <v>2023</v>
      </c>
      <c r="L539" s="12">
        <f t="shared" si="8"/>
        <v>148452</v>
      </c>
    </row>
    <row r="540" spans="1:12" x14ac:dyDescent="0.3">
      <c r="A540" s="31">
        <v>94</v>
      </c>
      <c r="B540" s="33" t="s">
        <v>163</v>
      </c>
      <c r="C540" s="33" t="s">
        <v>90</v>
      </c>
      <c r="D540" s="17">
        <v>503470</v>
      </c>
      <c r="E540" s="7">
        <v>653940</v>
      </c>
      <c r="F540" s="17">
        <v>63034</v>
      </c>
      <c r="G540" s="17">
        <v>58</v>
      </c>
      <c r="H540" s="17">
        <v>44869</v>
      </c>
      <c r="I540" s="17">
        <v>8561</v>
      </c>
      <c r="J540" s="17">
        <v>81765</v>
      </c>
      <c r="K540" s="6">
        <v>2023</v>
      </c>
      <c r="L540" s="12">
        <f t="shared" si="8"/>
        <v>190460.75</v>
      </c>
    </row>
    <row r="541" spans="1:12" x14ac:dyDescent="0.3">
      <c r="A541" s="31">
        <v>95</v>
      </c>
      <c r="B541" s="33" t="s">
        <v>97</v>
      </c>
      <c r="C541" s="33" t="s">
        <v>90</v>
      </c>
      <c r="D541" s="17">
        <v>498060</v>
      </c>
      <c r="E541" s="7">
        <v>484103</v>
      </c>
      <c r="F541" s="17">
        <v>62145</v>
      </c>
      <c r="G541" s="17">
        <v>55</v>
      </c>
      <c r="H541" s="17">
        <v>58086</v>
      </c>
      <c r="I541" s="17">
        <v>41637</v>
      </c>
      <c r="J541" s="17">
        <v>97711</v>
      </c>
      <c r="K541" s="6">
        <v>2023</v>
      </c>
      <c r="L541" s="12">
        <f t="shared" si="8"/>
        <v>151083.5</v>
      </c>
    </row>
    <row r="542" spans="1:12" x14ac:dyDescent="0.3">
      <c r="A542" s="31">
        <v>96</v>
      </c>
      <c r="B542" s="33" t="s">
        <v>153</v>
      </c>
      <c r="C542" s="33" t="s">
        <v>90</v>
      </c>
      <c r="D542" s="17">
        <v>497320</v>
      </c>
      <c r="E542" s="7">
        <v>438599</v>
      </c>
      <c r="F542" s="17">
        <v>53789</v>
      </c>
      <c r="G542" s="17">
        <v>56</v>
      </c>
      <c r="H542" s="17">
        <v>52545</v>
      </c>
      <c r="I542" s="17">
        <v>34244</v>
      </c>
      <c r="J542" s="17">
        <v>89435</v>
      </c>
      <c r="K542" s="6">
        <v>2023</v>
      </c>
      <c r="L542" s="12">
        <f t="shared" si="8"/>
        <v>136233.25</v>
      </c>
    </row>
    <row r="543" spans="1:12" x14ac:dyDescent="0.3">
      <c r="A543" s="31">
        <v>97</v>
      </c>
      <c r="B543" s="33" t="s">
        <v>114</v>
      </c>
      <c r="C543" s="33" t="s">
        <v>90</v>
      </c>
      <c r="D543" s="17">
        <v>495400</v>
      </c>
      <c r="E543" s="7">
        <v>259175</v>
      </c>
      <c r="F543" s="17">
        <v>54660</v>
      </c>
      <c r="G543" s="17">
        <v>52</v>
      </c>
      <c r="H543" s="17">
        <v>81038</v>
      </c>
      <c r="I543" s="17">
        <v>38307</v>
      </c>
      <c r="J543" s="17">
        <v>65691</v>
      </c>
      <c r="K543" s="6">
        <v>2023</v>
      </c>
      <c r="L543" s="12">
        <f t="shared" si="8"/>
        <v>98718.25</v>
      </c>
    </row>
    <row r="544" spans="1:12" x14ac:dyDescent="0.3">
      <c r="A544" s="31">
        <v>98</v>
      </c>
      <c r="B544" s="33" t="s">
        <v>132</v>
      </c>
      <c r="C544" s="33" t="s">
        <v>24</v>
      </c>
      <c r="D544" s="17">
        <v>494090</v>
      </c>
      <c r="E544" s="7">
        <v>582354</v>
      </c>
      <c r="F544" s="17">
        <v>58814</v>
      </c>
      <c r="G544" s="17">
        <v>63</v>
      </c>
      <c r="H544" s="17">
        <v>45558</v>
      </c>
      <c r="I544" s="17">
        <v>31677</v>
      </c>
      <c r="J544" s="17">
        <v>93253</v>
      </c>
      <c r="K544" s="6">
        <v>2023</v>
      </c>
      <c r="L544" s="12">
        <f t="shared" si="8"/>
        <v>171681.5</v>
      </c>
    </row>
    <row r="545" spans="1:12" x14ac:dyDescent="0.3">
      <c r="A545" s="31">
        <v>99</v>
      </c>
      <c r="B545" s="33" t="s">
        <v>195</v>
      </c>
      <c r="C545" s="33" t="s">
        <v>24</v>
      </c>
      <c r="D545" s="17">
        <v>490780</v>
      </c>
      <c r="E545" s="7">
        <v>520061</v>
      </c>
      <c r="F545" s="17">
        <v>80811</v>
      </c>
      <c r="G545" s="17">
        <v>39</v>
      </c>
      <c r="H545" s="17">
        <v>53963</v>
      </c>
      <c r="I545" s="17">
        <v>15516</v>
      </c>
      <c r="J545" s="17">
        <v>88085</v>
      </c>
      <c r="K545" s="6">
        <v>2023</v>
      </c>
      <c r="L545" s="12">
        <f t="shared" si="8"/>
        <v>163708.75</v>
      </c>
    </row>
    <row r="546" spans="1:12" x14ac:dyDescent="0.3">
      <c r="A546" s="31">
        <v>100</v>
      </c>
      <c r="B546" s="33" t="s">
        <v>112</v>
      </c>
      <c r="C546" s="33" t="s">
        <v>24</v>
      </c>
      <c r="D546" s="17">
        <v>490280</v>
      </c>
      <c r="E546" s="7">
        <v>561914</v>
      </c>
      <c r="F546" s="17">
        <v>33027</v>
      </c>
      <c r="G546" s="17">
        <v>64</v>
      </c>
      <c r="H546" s="17">
        <v>69966</v>
      </c>
      <c r="I546" s="17">
        <v>2990</v>
      </c>
      <c r="J546" s="17">
        <v>84896</v>
      </c>
      <c r="K546" s="6">
        <v>2023</v>
      </c>
      <c r="L546" s="12">
        <f t="shared" si="8"/>
        <v>166226.75</v>
      </c>
    </row>
    <row r="547" spans="1:12" x14ac:dyDescent="0.3">
      <c r="A547" s="31">
        <v>101</v>
      </c>
      <c r="B547" s="33" t="s">
        <v>130</v>
      </c>
      <c r="C547" s="33" t="s">
        <v>24</v>
      </c>
      <c r="D547" s="17">
        <v>487630</v>
      </c>
      <c r="E547" s="7">
        <v>665816</v>
      </c>
      <c r="F547" s="17">
        <v>68031</v>
      </c>
      <c r="G547" s="17">
        <v>67</v>
      </c>
      <c r="H547" s="17">
        <v>36380</v>
      </c>
      <c r="I547" s="17">
        <v>54376</v>
      </c>
      <c r="J547" s="17">
        <v>76748</v>
      </c>
      <c r="K547" s="6">
        <v>2023</v>
      </c>
      <c r="L547" s="12">
        <f t="shared" si="8"/>
        <v>192556.75</v>
      </c>
    </row>
    <row r="548" spans="1:12" x14ac:dyDescent="0.3">
      <c r="A548" s="31">
        <v>102</v>
      </c>
      <c r="B548" s="33" t="s">
        <v>162</v>
      </c>
      <c r="C548" s="33" t="s">
        <v>90</v>
      </c>
      <c r="D548" s="17">
        <v>485510</v>
      </c>
      <c r="E548" s="7">
        <v>428578</v>
      </c>
      <c r="F548" s="17">
        <v>44908</v>
      </c>
      <c r="G548" s="17">
        <v>60</v>
      </c>
      <c r="H548" s="17">
        <v>67263</v>
      </c>
      <c r="I548" s="17">
        <v>33736</v>
      </c>
      <c r="J548" s="17">
        <v>89374</v>
      </c>
      <c r="K548" s="6">
        <v>2023</v>
      </c>
      <c r="L548" s="12">
        <f t="shared" si="8"/>
        <v>135187.25</v>
      </c>
    </row>
    <row r="549" spans="1:12" x14ac:dyDescent="0.3">
      <c r="A549" s="31">
        <v>103</v>
      </c>
      <c r="B549" s="33" t="s">
        <v>144</v>
      </c>
      <c r="C549" s="33" t="s">
        <v>24</v>
      </c>
      <c r="D549" s="17">
        <v>472390</v>
      </c>
      <c r="E549" s="7">
        <v>499605</v>
      </c>
      <c r="F549" s="17">
        <v>47186</v>
      </c>
      <c r="G549" s="17">
        <v>60</v>
      </c>
      <c r="H549" s="17">
        <v>41495</v>
      </c>
      <c r="I549" s="17">
        <v>30735</v>
      </c>
      <c r="J549" s="17">
        <v>65291</v>
      </c>
      <c r="K549" s="6">
        <v>2023</v>
      </c>
      <c r="L549" s="12">
        <f t="shared" si="8"/>
        <v>147071.5</v>
      </c>
    </row>
    <row r="550" spans="1:12" x14ac:dyDescent="0.3">
      <c r="A550" s="31">
        <v>104</v>
      </c>
      <c r="B550" s="33" t="s">
        <v>172</v>
      </c>
      <c r="C550" s="33" t="s">
        <v>90</v>
      </c>
      <c r="D550" s="17">
        <v>463760</v>
      </c>
      <c r="E550" s="7">
        <v>348918</v>
      </c>
      <c r="F550" s="17">
        <v>50240</v>
      </c>
      <c r="G550" s="17">
        <v>55</v>
      </c>
      <c r="H550" s="17">
        <v>54301</v>
      </c>
      <c r="I550" s="17">
        <v>44503</v>
      </c>
      <c r="J550" s="17">
        <v>79856</v>
      </c>
      <c r="K550" s="6">
        <v>2023</v>
      </c>
      <c r="L550" s="12">
        <f t="shared" si="8"/>
        <v>113364.75</v>
      </c>
    </row>
    <row r="551" spans="1:12" x14ac:dyDescent="0.3">
      <c r="A551" s="31">
        <v>105</v>
      </c>
      <c r="B551" s="33" t="s">
        <v>181</v>
      </c>
      <c r="C551" s="33" t="s">
        <v>90</v>
      </c>
      <c r="D551" s="17">
        <v>463080</v>
      </c>
      <c r="E551" s="7">
        <v>585991</v>
      </c>
      <c r="F551" s="17">
        <v>69493</v>
      </c>
      <c r="G551" s="17">
        <v>57</v>
      </c>
      <c r="H551" s="17">
        <v>49648</v>
      </c>
      <c r="I551" s="17">
        <v>16381</v>
      </c>
      <c r="J551" s="17">
        <v>87393</v>
      </c>
      <c r="K551" s="6">
        <v>2023</v>
      </c>
      <c r="L551" s="12">
        <f t="shared" si="8"/>
        <v>176283</v>
      </c>
    </row>
    <row r="552" spans="1:12" x14ac:dyDescent="0.3">
      <c r="A552" s="31">
        <v>106</v>
      </c>
      <c r="B552" s="33" t="s">
        <v>196</v>
      </c>
      <c r="C552" s="33" t="s">
        <v>24</v>
      </c>
      <c r="D552" s="17">
        <v>461350</v>
      </c>
      <c r="E552" s="7">
        <v>779376</v>
      </c>
      <c r="F552" s="17">
        <v>70874</v>
      </c>
      <c r="G552" s="17">
        <v>69</v>
      </c>
      <c r="H552" s="17">
        <v>16159</v>
      </c>
      <c r="I552" s="17">
        <v>22562</v>
      </c>
      <c r="J552" s="17">
        <v>82861</v>
      </c>
      <c r="K552" s="6">
        <v>2023</v>
      </c>
      <c r="L552" s="12">
        <f t="shared" si="8"/>
        <v>216602.25</v>
      </c>
    </row>
    <row r="553" spans="1:12" x14ac:dyDescent="0.3">
      <c r="A553" s="31">
        <v>107</v>
      </c>
      <c r="B553" s="33" t="s">
        <v>134</v>
      </c>
      <c r="C553" s="33" t="s">
        <v>90</v>
      </c>
      <c r="D553" s="17">
        <v>460500</v>
      </c>
      <c r="E553" s="7">
        <v>500393</v>
      </c>
      <c r="F553" s="17">
        <v>46684</v>
      </c>
      <c r="G553" s="17">
        <v>59</v>
      </c>
      <c r="H553" s="17">
        <v>68178</v>
      </c>
      <c r="I553" s="17">
        <v>50089</v>
      </c>
      <c r="J553" s="17">
        <v>93799</v>
      </c>
      <c r="K553" s="6">
        <v>2023</v>
      </c>
      <c r="L553" s="12">
        <f t="shared" si="8"/>
        <v>153813.75</v>
      </c>
    </row>
    <row r="554" spans="1:12" x14ac:dyDescent="0.3">
      <c r="A554" s="31">
        <v>108</v>
      </c>
      <c r="B554" s="33" t="s">
        <v>101</v>
      </c>
      <c r="C554" s="33" t="s">
        <v>99</v>
      </c>
      <c r="D554" s="17">
        <v>455540</v>
      </c>
      <c r="E554" s="7">
        <v>491356</v>
      </c>
      <c r="F554" s="17">
        <v>40548</v>
      </c>
      <c r="G554" s="17">
        <v>57</v>
      </c>
      <c r="H554" s="17">
        <v>66240</v>
      </c>
      <c r="I554" s="17">
        <v>33359</v>
      </c>
      <c r="J554" s="17">
        <v>81804</v>
      </c>
      <c r="K554" s="6">
        <v>2023</v>
      </c>
      <c r="L554" s="12">
        <f t="shared" si="8"/>
        <v>149536</v>
      </c>
    </row>
    <row r="555" spans="1:12" x14ac:dyDescent="0.3">
      <c r="A555" s="31">
        <v>109</v>
      </c>
      <c r="B555" s="33" t="s">
        <v>164</v>
      </c>
      <c r="C555" s="33" t="s">
        <v>90</v>
      </c>
      <c r="D555" s="17">
        <v>450130</v>
      </c>
      <c r="E555" s="7">
        <v>255047</v>
      </c>
      <c r="F555" s="17">
        <v>38791</v>
      </c>
      <c r="G555" s="17">
        <v>57</v>
      </c>
      <c r="H555" s="17">
        <v>70047</v>
      </c>
      <c r="I555" s="17">
        <v>36475</v>
      </c>
      <c r="J555" s="17">
        <v>75026</v>
      </c>
      <c r="K555" s="6">
        <v>2023</v>
      </c>
      <c r="L555" s="12">
        <f t="shared" si="8"/>
        <v>90971.25</v>
      </c>
    </row>
    <row r="556" spans="1:12" x14ac:dyDescent="0.3">
      <c r="A556" s="31">
        <v>110</v>
      </c>
      <c r="B556" s="33" t="s">
        <v>127</v>
      </c>
      <c r="C556" s="33" t="s">
        <v>24</v>
      </c>
      <c r="D556" s="17">
        <v>449670</v>
      </c>
      <c r="E556" s="7">
        <v>606018</v>
      </c>
      <c r="F556" s="17">
        <v>60578</v>
      </c>
      <c r="G556" s="17">
        <v>67</v>
      </c>
      <c r="H556" s="17">
        <v>33608</v>
      </c>
      <c r="I556" s="17">
        <v>5304</v>
      </c>
      <c r="J556" s="17">
        <v>97145</v>
      </c>
      <c r="K556" s="6">
        <v>2023</v>
      </c>
      <c r="L556" s="12">
        <f t="shared" si="8"/>
        <v>175051</v>
      </c>
    </row>
    <row r="557" spans="1:12" x14ac:dyDescent="0.3">
      <c r="A557" s="31">
        <v>111</v>
      </c>
      <c r="B557" s="33" t="s">
        <v>145</v>
      </c>
      <c r="C557" s="33" t="s">
        <v>90</v>
      </c>
      <c r="D557" s="17">
        <v>448660</v>
      </c>
      <c r="E557" s="7">
        <v>477976</v>
      </c>
      <c r="F557" s="17">
        <v>54377</v>
      </c>
      <c r="G557" s="17">
        <v>58</v>
      </c>
      <c r="H557" s="17">
        <v>54151</v>
      </c>
      <c r="I557" s="17">
        <v>69036</v>
      </c>
      <c r="J557" s="17">
        <v>90208</v>
      </c>
      <c r="K557" s="6">
        <v>2023</v>
      </c>
      <c r="L557" s="12">
        <f t="shared" si="8"/>
        <v>146626</v>
      </c>
    </row>
    <row r="558" spans="1:12" x14ac:dyDescent="0.3">
      <c r="A558" s="31">
        <v>112</v>
      </c>
      <c r="B558" s="33" t="s">
        <v>152</v>
      </c>
      <c r="C558" s="33" t="s">
        <v>99</v>
      </c>
      <c r="D558" s="17">
        <v>444160</v>
      </c>
      <c r="E558" s="7">
        <v>646362</v>
      </c>
      <c r="F558" s="17">
        <v>75581</v>
      </c>
      <c r="G558" s="17">
        <v>67</v>
      </c>
      <c r="H558" s="17">
        <v>69841</v>
      </c>
      <c r="I558" s="17">
        <v>28548</v>
      </c>
      <c r="J558" s="17">
        <v>84597</v>
      </c>
      <c r="K558" s="6">
        <v>2023</v>
      </c>
      <c r="L558" s="12">
        <f t="shared" si="8"/>
        <v>197946</v>
      </c>
    </row>
    <row r="559" spans="1:12" x14ac:dyDescent="0.3">
      <c r="A559" s="31">
        <v>113</v>
      </c>
      <c r="B559" s="33" t="s">
        <v>161</v>
      </c>
      <c r="C559" s="33" t="s">
        <v>90</v>
      </c>
      <c r="D559" s="17">
        <v>443250</v>
      </c>
      <c r="E559" s="7">
        <v>356916</v>
      </c>
      <c r="F559" s="17">
        <v>70603</v>
      </c>
      <c r="G559" s="17">
        <v>59</v>
      </c>
      <c r="H559" s="17">
        <v>55131</v>
      </c>
      <c r="I559" s="17">
        <v>46841</v>
      </c>
      <c r="J559" s="17">
        <v>90820</v>
      </c>
      <c r="K559" s="6">
        <v>2023</v>
      </c>
      <c r="L559" s="12">
        <f t="shared" si="8"/>
        <v>120662.5</v>
      </c>
    </row>
    <row r="560" spans="1:12" x14ac:dyDescent="0.3">
      <c r="A560" s="31">
        <v>114</v>
      </c>
      <c r="B560" s="33" t="s">
        <v>169</v>
      </c>
      <c r="C560" s="33" t="s">
        <v>90</v>
      </c>
      <c r="D560" s="17">
        <v>439660</v>
      </c>
      <c r="E560" s="7">
        <v>282788</v>
      </c>
      <c r="F560" s="17">
        <v>59374</v>
      </c>
      <c r="G560" s="17">
        <v>53</v>
      </c>
      <c r="H560" s="17">
        <v>50899</v>
      </c>
      <c r="I560" s="17">
        <v>60514</v>
      </c>
      <c r="J560" s="17">
        <v>84370</v>
      </c>
      <c r="K560" s="6">
        <v>2023</v>
      </c>
      <c r="L560" s="12">
        <f t="shared" si="8"/>
        <v>98265.25</v>
      </c>
    </row>
    <row r="561" spans="1:12" x14ac:dyDescent="0.3">
      <c r="A561" s="31">
        <v>115</v>
      </c>
      <c r="B561" s="33" t="s">
        <v>165</v>
      </c>
      <c r="C561" s="33" t="s">
        <v>39</v>
      </c>
      <c r="D561" s="17">
        <v>439350</v>
      </c>
      <c r="E561" s="7">
        <v>465996</v>
      </c>
      <c r="F561" s="17">
        <v>63193</v>
      </c>
      <c r="G561" s="17">
        <v>62</v>
      </c>
      <c r="H561" s="17">
        <v>99485</v>
      </c>
      <c r="I561" s="17">
        <v>41696</v>
      </c>
      <c r="J561" s="17">
        <v>90819</v>
      </c>
      <c r="K561" s="6">
        <v>2023</v>
      </c>
      <c r="L561" s="12">
        <f t="shared" si="8"/>
        <v>157168.5</v>
      </c>
    </row>
    <row r="562" spans="1:12" x14ac:dyDescent="0.3">
      <c r="A562" s="31">
        <v>116</v>
      </c>
      <c r="B562" s="33" t="s">
        <v>175</v>
      </c>
      <c r="C562" s="33" t="s">
        <v>90</v>
      </c>
      <c r="D562" s="17">
        <v>437370</v>
      </c>
      <c r="E562" s="7">
        <v>420099</v>
      </c>
      <c r="F562" s="17">
        <v>14930</v>
      </c>
      <c r="G562" s="17">
        <v>56</v>
      </c>
      <c r="H562" s="17">
        <v>62390</v>
      </c>
      <c r="I562" s="17">
        <v>26952</v>
      </c>
      <c r="J562" s="17">
        <v>54857</v>
      </c>
      <c r="K562" s="6">
        <v>2023</v>
      </c>
      <c r="L562" s="12">
        <f t="shared" si="8"/>
        <v>124354.75</v>
      </c>
    </row>
    <row r="563" spans="1:12" x14ac:dyDescent="0.3">
      <c r="A563" s="31">
        <v>117</v>
      </c>
      <c r="B563" s="33" t="s">
        <v>149</v>
      </c>
      <c r="C563" s="33" t="s">
        <v>39</v>
      </c>
      <c r="D563" s="17">
        <v>437250</v>
      </c>
      <c r="E563" s="7">
        <v>469125</v>
      </c>
      <c r="F563" s="17">
        <v>69461</v>
      </c>
      <c r="G563" s="17">
        <v>61</v>
      </c>
      <c r="H563" s="17">
        <v>59592</v>
      </c>
      <c r="I563" s="17">
        <v>94910</v>
      </c>
      <c r="J563" s="17">
        <v>65434</v>
      </c>
      <c r="K563" s="6">
        <v>2023</v>
      </c>
      <c r="L563" s="12">
        <f t="shared" si="8"/>
        <v>149544.5</v>
      </c>
    </row>
    <row r="564" spans="1:12" x14ac:dyDescent="0.3">
      <c r="A564" s="31">
        <v>118</v>
      </c>
      <c r="B564" s="33" t="s">
        <v>129</v>
      </c>
      <c r="C564" s="33" t="s">
        <v>99</v>
      </c>
      <c r="D564" s="17">
        <v>428210</v>
      </c>
      <c r="E564" s="7">
        <v>514926</v>
      </c>
      <c r="F564" s="17">
        <v>31680</v>
      </c>
      <c r="G564" s="17">
        <v>65</v>
      </c>
      <c r="H564" s="17">
        <v>79923</v>
      </c>
      <c r="I564" s="17">
        <v>33007</v>
      </c>
      <c r="J564" s="17">
        <v>70509</v>
      </c>
      <c r="K564" s="6">
        <v>2023</v>
      </c>
      <c r="L564" s="12">
        <f t="shared" si="8"/>
        <v>156632.25</v>
      </c>
    </row>
    <row r="565" spans="1:12" x14ac:dyDescent="0.3">
      <c r="A565" s="31">
        <v>119</v>
      </c>
      <c r="B565" s="33" t="s">
        <v>189</v>
      </c>
      <c r="C565" s="33" t="s">
        <v>90</v>
      </c>
      <c r="D565" s="17">
        <v>427940</v>
      </c>
      <c r="E565" s="7">
        <v>345836</v>
      </c>
      <c r="F565" s="17">
        <v>37888</v>
      </c>
      <c r="G565" s="17">
        <v>58</v>
      </c>
      <c r="H565" s="17">
        <v>37054</v>
      </c>
      <c r="I565" s="17">
        <v>78721</v>
      </c>
      <c r="J565" s="17">
        <v>94071</v>
      </c>
      <c r="K565" s="6">
        <v>2023</v>
      </c>
      <c r="L565" s="12">
        <f t="shared" si="8"/>
        <v>105194.5</v>
      </c>
    </row>
    <row r="566" spans="1:12" x14ac:dyDescent="0.3">
      <c r="A566" s="31">
        <v>120</v>
      </c>
      <c r="B566" s="33" t="s">
        <v>158</v>
      </c>
      <c r="C566" s="33" t="s">
        <v>90</v>
      </c>
      <c r="D566" s="17">
        <v>419780</v>
      </c>
      <c r="E566" s="7">
        <v>347035</v>
      </c>
      <c r="F566" s="17">
        <v>39324</v>
      </c>
      <c r="G566" s="17">
        <v>55</v>
      </c>
      <c r="H566" s="17">
        <v>57125</v>
      </c>
      <c r="I566" s="17">
        <v>28774</v>
      </c>
      <c r="J566" s="17">
        <v>89391</v>
      </c>
      <c r="K566" s="6">
        <v>2023</v>
      </c>
      <c r="L566" s="12">
        <f t="shared" si="8"/>
        <v>110871</v>
      </c>
    </row>
    <row r="567" spans="1:12" x14ac:dyDescent="0.3">
      <c r="A567" s="31">
        <v>121</v>
      </c>
      <c r="B567" s="33" t="s">
        <v>155</v>
      </c>
      <c r="C567" s="33" t="s">
        <v>24</v>
      </c>
      <c r="D567" s="17">
        <v>417050</v>
      </c>
      <c r="E567" s="7">
        <v>626115</v>
      </c>
      <c r="F567" s="17">
        <v>60007</v>
      </c>
      <c r="G567" s="17">
        <v>64</v>
      </c>
      <c r="H567" s="17">
        <v>60504</v>
      </c>
      <c r="I567" s="17">
        <v>9084</v>
      </c>
      <c r="J567" s="17">
        <v>55447</v>
      </c>
      <c r="K567" s="6">
        <v>2023</v>
      </c>
      <c r="L567" s="12">
        <f t="shared" si="8"/>
        <v>186656.5</v>
      </c>
    </row>
    <row r="568" spans="1:12" x14ac:dyDescent="0.3">
      <c r="A568" s="31">
        <v>122</v>
      </c>
      <c r="B568" s="33" t="s">
        <v>178</v>
      </c>
      <c r="C568" s="33" t="s">
        <v>90</v>
      </c>
      <c r="D568" s="17">
        <v>413740</v>
      </c>
      <c r="E568" s="7">
        <v>349986</v>
      </c>
      <c r="F568" s="17">
        <v>39616</v>
      </c>
      <c r="G568" s="17">
        <v>57</v>
      </c>
      <c r="H568" s="17">
        <v>47569</v>
      </c>
      <c r="I568" s="17">
        <v>35420</v>
      </c>
      <c r="J568" s="17">
        <v>75826</v>
      </c>
      <c r="K568" s="6">
        <v>2023</v>
      </c>
      <c r="L568" s="12">
        <f t="shared" si="8"/>
        <v>109292.75</v>
      </c>
    </row>
    <row r="569" spans="1:12" x14ac:dyDescent="0.3">
      <c r="A569" s="31">
        <v>123</v>
      </c>
      <c r="B569" s="33" t="s">
        <v>103</v>
      </c>
      <c r="C569" s="33" t="s">
        <v>24</v>
      </c>
      <c r="D569" s="17">
        <v>411980</v>
      </c>
      <c r="E569" s="7">
        <v>587563</v>
      </c>
      <c r="F569" s="17">
        <v>60493</v>
      </c>
      <c r="G569" s="17">
        <v>68</v>
      </c>
      <c r="H569" s="17">
        <v>67007</v>
      </c>
      <c r="I569" s="17">
        <v>13287</v>
      </c>
      <c r="J569" s="17">
        <v>69107</v>
      </c>
      <c r="K569" s="6">
        <v>2023</v>
      </c>
      <c r="L569" s="12">
        <f t="shared" si="8"/>
        <v>178765.75</v>
      </c>
    </row>
    <row r="570" spans="1:12" x14ac:dyDescent="0.3">
      <c r="A570" s="31">
        <v>124</v>
      </c>
      <c r="B570" s="33" t="s">
        <v>142</v>
      </c>
      <c r="C570" s="33" t="s">
        <v>90</v>
      </c>
      <c r="D570" s="17">
        <v>409060</v>
      </c>
      <c r="E570" s="7">
        <v>360660</v>
      </c>
      <c r="F570" s="17">
        <v>68800</v>
      </c>
      <c r="G570" s="17">
        <v>61</v>
      </c>
      <c r="H570" s="17">
        <v>58409</v>
      </c>
      <c r="I570" s="17">
        <v>67152</v>
      </c>
      <c r="J570" s="17">
        <v>82064</v>
      </c>
      <c r="K570" s="6">
        <v>2023</v>
      </c>
      <c r="L570" s="12">
        <f t="shared" si="8"/>
        <v>121967.25</v>
      </c>
    </row>
    <row r="571" spans="1:12" x14ac:dyDescent="0.3">
      <c r="A571" s="31">
        <v>125</v>
      </c>
      <c r="B571" s="33" t="s">
        <v>136</v>
      </c>
      <c r="C571" s="33" t="s">
        <v>90</v>
      </c>
      <c r="D571" s="17">
        <v>404230</v>
      </c>
      <c r="E571" s="7">
        <v>285336</v>
      </c>
      <c r="F571" s="17">
        <v>39776</v>
      </c>
      <c r="G571" s="17">
        <v>57</v>
      </c>
      <c r="H571" s="17">
        <v>60994</v>
      </c>
      <c r="I571" s="17">
        <v>52007</v>
      </c>
      <c r="J571" s="17">
        <v>87351</v>
      </c>
      <c r="K571" s="6">
        <v>2023</v>
      </c>
      <c r="L571" s="12">
        <f t="shared" si="8"/>
        <v>96526.5</v>
      </c>
    </row>
    <row r="572" spans="1:12" x14ac:dyDescent="0.3">
      <c r="A572" s="31">
        <v>126</v>
      </c>
      <c r="B572" s="33" t="s">
        <v>137</v>
      </c>
      <c r="C572" s="33" t="s">
        <v>99</v>
      </c>
      <c r="D572" s="17">
        <v>403580</v>
      </c>
      <c r="E572" s="7">
        <v>527009</v>
      </c>
      <c r="F572" s="17">
        <v>41625</v>
      </c>
      <c r="G572" s="17">
        <v>61</v>
      </c>
      <c r="H572" s="17">
        <v>88842</v>
      </c>
      <c r="I572" s="17">
        <v>41497</v>
      </c>
      <c r="J572" s="17">
        <v>80139</v>
      </c>
      <c r="K572" s="6">
        <v>2023</v>
      </c>
      <c r="L572" s="12">
        <f t="shared" si="8"/>
        <v>164369</v>
      </c>
    </row>
    <row r="573" spans="1:12" x14ac:dyDescent="0.3">
      <c r="A573" s="31">
        <v>127</v>
      </c>
      <c r="B573" s="33" t="s">
        <v>167</v>
      </c>
      <c r="C573" s="33" t="s">
        <v>90</v>
      </c>
      <c r="D573" s="17">
        <v>401910</v>
      </c>
      <c r="E573" s="7">
        <v>287530</v>
      </c>
      <c r="F573" s="17">
        <v>48122</v>
      </c>
      <c r="G573" s="17">
        <v>58</v>
      </c>
      <c r="H573" s="17">
        <v>24191</v>
      </c>
      <c r="I573" s="17">
        <v>41966</v>
      </c>
      <c r="J573" s="17">
        <v>76083</v>
      </c>
      <c r="K573" s="6">
        <v>2023</v>
      </c>
      <c r="L573" s="12">
        <f t="shared" si="8"/>
        <v>89960.75</v>
      </c>
    </row>
    <row r="574" spans="1:12" x14ac:dyDescent="0.3">
      <c r="A574" s="31">
        <v>128</v>
      </c>
      <c r="B574" s="33" t="s">
        <v>105</v>
      </c>
      <c r="C574" s="33" t="s">
        <v>90</v>
      </c>
      <c r="D574" s="17">
        <v>398220</v>
      </c>
      <c r="E574" s="7">
        <v>415300</v>
      </c>
      <c r="F574" s="17">
        <v>54928</v>
      </c>
      <c r="G574" s="17">
        <v>55</v>
      </c>
      <c r="H574" s="17">
        <v>70585</v>
      </c>
      <c r="I574" s="17">
        <v>44888</v>
      </c>
      <c r="J574" s="17">
        <v>85755</v>
      </c>
      <c r="K574" s="6">
        <v>2023</v>
      </c>
      <c r="L574" s="12">
        <f t="shared" si="8"/>
        <v>135203.25</v>
      </c>
    </row>
    <row r="575" spans="1:12" x14ac:dyDescent="0.3">
      <c r="A575" s="31">
        <v>129</v>
      </c>
      <c r="B575" s="33" t="s">
        <v>166</v>
      </c>
      <c r="C575" s="33" t="s">
        <v>90</v>
      </c>
      <c r="D575" s="17">
        <v>369380</v>
      </c>
      <c r="E575" s="7">
        <v>380010</v>
      </c>
      <c r="F575" s="17">
        <v>48587</v>
      </c>
      <c r="G575" s="17">
        <v>59</v>
      </c>
      <c r="H575" s="17">
        <v>78702</v>
      </c>
      <c r="I575" s="17">
        <v>55528</v>
      </c>
      <c r="J575" s="17">
        <v>52078</v>
      </c>
      <c r="K575" s="6">
        <v>2023</v>
      </c>
      <c r="L575" s="12">
        <f t="shared" si="8"/>
        <v>126824.75</v>
      </c>
    </row>
    <row r="576" spans="1:12" x14ac:dyDescent="0.3">
      <c r="A576" s="31">
        <v>130</v>
      </c>
      <c r="B576" s="33" t="s">
        <v>160</v>
      </c>
      <c r="C576" s="33" t="s">
        <v>90</v>
      </c>
      <c r="D576" s="17">
        <v>354520</v>
      </c>
      <c r="E576" s="7">
        <v>415421</v>
      </c>
      <c r="F576" s="17">
        <v>20179</v>
      </c>
      <c r="G576" s="17">
        <v>59</v>
      </c>
      <c r="H576" s="17">
        <v>15218</v>
      </c>
      <c r="I576" s="17">
        <v>30547</v>
      </c>
      <c r="J576" s="17">
        <v>74189</v>
      </c>
      <c r="K576" s="6">
        <v>2023</v>
      </c>
      <c r="L576" s="12">
        <f t="shared" si="8"/>
        <v>112704.5</v>
      </c>
    </row>
    <row r="577" spans="1:12" x14ac:dyDescent="0.3">
      <c r="A577" s="31">
        <v>131</v>
      </c>
      <c r="B577" s="33" t="s">
        <v>151</v>
      </c>
      <c r="C577" s="33" t="s">
        <v>90</v>
      </c>
      <c r="D577" s="17">
        <v>349520</v>
      </c>
      <c r="E577" s="7">
        <v>289375</v>
      </c>
      <c r="F577" s="17">
        <v>29547</v>
      </c>
      <c r="G577" s="17">
        <v>58</v>
      </c>
      <c r="H577" s="17">
        <v>63542</v>
      </c>
      <c r="I577" s="17">
        <v>33026</v>
      </c>
      <c r="J577" s="17">
        <v>76993</v>
      </c>
      <c r="K577" s="6">
        <v>2023</v>
      </c>
      <c r="L577" s="12">
        <f t="shared" si="8"/>
        <v>95616</v>
      </c>
    </row>
    <row r="578" spans="1:12" x14ac:dyDescent="0.3">
      <c r="A578" s="31">
        <v>132</v>
      </c>
      <c r="B578" s="33" t="s">
        <v>148</v>
      </c>
      <c r="C578" s="33" t="s">
        <v>90</v>
      </c>
      <c r="D578" s="17">
        <v>343530</v>
      </c>
      <c r="E578" s="7">
        <v>668918</v>
      </c>
      <c r="F578" s="17">
        <v>64251</v>
      </c>
      <c r="G578" s="17">
        <v>55</v>
      </c>
      <c r="H578" s="17">
        <v>62199</v>
      </c>
      <c r="I578" s="17">
        <v>5047</v>
      </c>
      <c r="J578" s="17">
        <v>87395</v>
      </c>
      <c r="K578" s="6">
        <v>2023</v>
      </c>
      <c r="L578" s="12">
        <f t="shared" si="8"/>
        <v>198842</v>
      </c>
    </row>
    <row r="579" spans="1:12" x14ac:dyDescent="0.3">
      <c r="A579" s="31">
        <v>133</v>
      </c>
      <c r="B579" s="33" t="s">
        <v>140</v>
      </c>
      <c r="C579" s="33" t="s">
        <v>90</v>
      </c>
      <c r="D579" s="17">
        <v>320720</v>
      </c>
      <c r="E579" s="7">
        <v>241300</v>
      </c>
      <c r="F579" s="17">
        <v>48389</v>
      </c>
      <c r="G579" s="17">
        <v>55</v>
      </c>
      <c r="H579" s="17">
        <v>48667</v>
      </c>
      <c r="I579" s="17">
        <v>43310</v>
      </c>
      <c r="J579" s="17">
        <v>87824</v>
      </c>
      <c r="K579" s="6">
        <v>2023</v>
      </c>
      <c r="L579" s="12">
        <f t="shared" ref="L579:L642" si="9">AVERAGE(E579,F579,H579,)</f>
        <v>84589</v>
      </c>
    </row>
    <row r="580" spans="1:12" x14ac:dyDescent="0.3">
      <c r="A580" s="31">
        <v>134</v>
      </c>
      <c r="B580" s="33" t="s">
        <v>135</v>
      </c>
      <c r="C580" s="33" t="s">
        <v>90</v>
      </c>
      <c r="D580" s="17">
        <v>320350</v>
      </c>
      <c r="E580" s="7">
        <v>344725</v>
      </c>
      <c r="F580" s="17">
        <v>54364</v>
      </c>
      <c r="G580" s="17">
        <v>54</v>
      </c>
      <c r="H580" s="17">
        <v>46987</v>
      </c>
      <c r="I580" s="17">
        <v>26480</v>
      </c>
      <c r="J580" s="17">
        <v>79117</v>
      </c>
      <c r="K580" s="6">
        <v>2023</v>
      </c>
      <c r="L580" s="12">
        <f t="shared" si="9"/>
        <v>111519</v>
      </c>
    </row>
    <row r="581" spans="1:12" x14ac:dyDescent="0.3">
      <c r="A581" s="31">
        <v>135</v>
      </c>
      <c r="B581" s="33" t="s">
        <v>143</v>
      </c>
      <c r="C581" s="33" t="s">
        <v>90</v>
      </c>
      <c r="D581" s="17">
        <v>313760</v>
      </c>
      <c r="E581" s="7">
        <v>304455</v>
      </c>
      <c r="F581" s="17">
        <v>33361</v>
      </c>
      <c r="G581" s="17">
        <v>55</v>
      </c>
      <c r="H581" s="17">
        <v>48076</v>
      </c>
      <c r="I581" s="17">
        <v>45720</v>
      </c>
      <c r="J581" s="17">
        <v>90892</v>
      </c>
      <c r="K581" s="6">
        <v>2023</v>
      </c>
      <c r="L581" s="12">
        <f t="shared" si="9"/>
        <v>96473</v>
      </c>
    </row>
    <row r="582" spans="1:12" x14ac:dyDescent="0.3">
      <c r="A582" s="31">
        <v>136</v>
      </c>
      <c r="B582" s="33" t="s">
        <v>123</v>
      </c>
      <c r="C582" s="33" t="s">
        <v>24</v>
      </c>
      <c r="D582" s="17">
        <v>239220</v>
      </c>
      <c r="E582" s="7">
        <v>644189</v>
      </c>
      <c r="F582" s="17">
        <v>29385</v>
      </c>
      <c r="G582" s="17">
        <v>66</v>
      </c>
      <c r="H582" s="17">
        <v>15913</v>
      </c>
      <c r="I582" s="17">
        <v>14429</v>
      </c>
      <c r="J582" s="17">
        <v>95149</v>
      </c>
      <c r="K582" s="6">
        <v>2023</v>
      </c>
      <c r="L582" s="12">
        <f t="shared" si="9"/>
        <v>172371.75</v>
      </c>
    </row>
    <row r="583" spans="1:12" x14ac:dyDescent="0.3">
      <c r="A583" s="31">
        <v>137</v>
      </c>
      <c r="B583" s="33" t="s">
        <v>173</v>
      </c>
      <c r="C583" s="33" t="s">
        <v>99</v>
      </c>
      <c r="D583" s="17">
        <v>185900</v>
      </c>
      <c r="E583" s="7">
        <v>293045</v>
      </c>
      <c r="F583" s="17">
        <v>0</v>
      </c>
      <c r="G583" s="17">
        <v>55</v>
      </c>
      <c r="H583" s="17">
        <v>0</v>
      </c>
      <c r="I583" s="17">
        <v>22053</v>
      </c>
      <c r="J583" s="17">
        <v>89543</v>
      </c>
      <c r="K583" s="6">
        <v>2023</v>
      </c>
      <c r="L583" s="12">
        <f t="shared" si="9"/>
        <v>73261.25</v>
      </c>
    </row>
    <row r="584" spans="1:12" x14ac:dyDescent="0.3">
      <c r="A584" s="31">
        <v>1</v>
      </c>
      <c r="B584" s="33" t="s">
        <v>18</v>
      </c>
      <c r="C584" s="33" t="s">
        <v>12</v>
      </c>
      <c r="D584" s="17">
        <v>774070</v>
      </c>
      <c r="E584" s="7">
        <v>861498</v>
      </c>
      <c r="F584" s="17">
        <v>97268</v>
      </c>
      <c r="G584" s="17">
        <v>76</v>
      </c>
      <c r="H584" s="17">
        <v>99532</v>
      </c>
      <c r="I584" s="17">
        <v>35347</v>
      </c>
      <c r="J584" s="17">
        <v>94966</v>
      </c>
      <c r="K584" s="6">
        <v>2024</v>
      </c>
      <c r="L584" s="12">
        <f t="shared" si="9"/>
        <v>264574.5</v>
      </c>
    </row>
    <row r="585" spans="1:12" x14ac:dyDescent="0.3">
      <c r="A585" s="31">
        <v>2</v>
      </c>
      <c r="B585" s="33" t="s">
        <v>14</v>
      </c>
      <c r="C585" s="33" t="s">
        <v>12</v>
      </c>
      <c r="D585" s="17">
        <v>758270</v>
      </c>
      <c r="E585" s="7">
        <v>891278</v>
      </c>
      <c r="F585" s="17">
        <v>94051</v>
      </c>
      <c r="G585" s="17">
        <v>76</v>
      </c>
      <c r="H585" s="17">
        <v>95298</v>
      </c>
      <c r="I585" s="17">
        <v>50792</v>
      </c>
      <c r="J585" s="17">
        <v>95358</v>
      </c>
      <c r="K585" s="6">
        <v>2024</v>
      </c>
      <c r="L585" s="12">
        <f t="shared" si="9"/>
        <v>270156.75</v>
      </c>
    </row>
    <row r="586" spans="1:12" x14ac:dyDescent="0.3">
      <c r="A586" s="31">
        <v>3</v>
      </c>
      <c r="B586" s="33" t="s">
        <v>13</v>
      </c>
      <c r="C586" s="33" t="s">
        <v>12</v>
      </c>
      <c r="D586" s="17">
        <v>752510</v>
      </c>
      <c r="E586" s="7">
        <v>878627</v>
      </c>
      <c r="F586" s="17">
        <v>100000</v>
      </c>
      <c r="G586" s="17">
        <v>77</v>
      </c>
      <c r="H586" s="17">
        <v>94808</v>
      </c>
      <c r="I586" s="17">
        <v>64455</v>
      </c>
      <c r="J586" s="17">
        <v>31728</v>
      </c>
      <c r="K586" s="6">
        <v>2024</v>
      </c>
      <c r="L586" s="12">
        <f t="shared" si="9"/>
        <v>268358.75</v>
      </c>
    </row>
    <row r="587" spans="1:12" x14ac:dyDescent="0.3">
      <c r="A587" s="31">
        <v>4</v>
      </c>
      <c r="B587" s="33" t="s">
        <v>20</v>
      </c>
      <c r="C587" s="33" t="s">
        <v>12</v>
      </c>
      <c r="D587" s="17">
        <v>734410</v>
      </c>
      <c r="E587" s="7">
        <v>877425</v>
      </c>
      <c r="F587" s="17">
        <v>92843</v>
      </c>
      <c r="G587" s="17">
        <v>77</v>
      </c>
      <c r="H587" s="17">
        <v>97097</v>
      </c>
      <c r="I587" s="17">
        <v>55252</v>
      </c>
      <c r="J587" s="17">
        <v>91078</v>
      </c>
      <c r="K587" s="6">
        <v>2024</v>
      </c>
      <c r="L587" s="12">
        <f t="shared" si="9"/>
        <v>266841.25</v>
      </c>
    </row>
    <row r="588" spans="1:12" x14ac:dyDescent="0.3">
      <c r="A588" s="31">
        <v>5</v>
      </c>
      <c r="B588" s="33" t="s">
        <v>23</v>
      </c>
      <c r="C588" s="33" t="s">
        <v>24</v>
      </c>
      <c r="D588" s="17">
        <v>734110</v>
      </c>
      <c r="E588" s="7">
        <v>842288</v>
      </c>
      <c r="F588" s="17">
        <v>93583</v>
      </c>
      <c r="G588" s="17">
        <v>78</v>
      </c>
      <c r="H588" s="17">
        <v>74301</v>
      </c>
      <c r="I588" s="17">
        <v>38224</v>
      </c>
      <c r="J588" s="17">
        <v>33528</v>
      </c>
      <c r="K588" s="6">
        <v>2024</v>
      </c>
      <c r="L588" s="12">
        <f t="shared" si="9"/>
        <v>252543</v>
      </c>
    </row>
    <row r="589" spans="1:12" x14ac:dyDescent="0.3">
      <c r="A589" s="31">
        <v>6</v>
      </c>
      <c r="B589" s="33" t="s">
        <v>19</v>
      </c>
      <c r="C589" s="33" t="s">
        <v>12</v>
      </c>
      <c r="D589" s="17">
        <v>731940</v>
      </c>
      <c r="E589" s="7">
        <v>887942</v>
      </c>
      <c r="F589" s="17">
        <v>90444</v>
      </c>
      <c r="G589" s="17">
        <v>76</v>
      </c>
      <c r="H589" s="17">
        <v>83986</v>
      </c>
      <c r="I589" s="17">
        <v>61715</v>
      </c>
      <c r="J589" s="17">
        <v>64757</v>
      </c>
      <c r="K589" s="6">
        <v>2024</v>
      </c>
      <c r="L589" s="12">
        <f t="shared" si="9"/>
        <v>265593</v>
      </c>
    </row>
    <row r="590" spans="1:12" x14ac:dyDescent="0.3">
      <c r="A590" s="31">
        <v>7</v>
      </c>
      <c r="B590" s="33" t="s">
        <v>15</v>
      </c>
      <c r="C590" s="33" t="s">
        <v>12</v>
      </c>
      <c r="D590" s="17">
        <v>730170</v>
      </c>
      <c r="E590" s="7">
        <v>911908</v>
      </c>
      <c r="F590" s="17">
        <v>93815</v>
      </c>
      <c r="G590" s="17">
        <v>76</v>
      </c>
      <c r="H590" s="17">
        <v>96762</v>
      </c>
      <c r="I590" s="17">
        <v>55922</v>
      </c>
      <c r="J590" s="17">
        <v>84146</v>
      </c>
      <c r="K590" s="6">
        <v>2024</v>
      </c>
      <c r="L590" s="12">
        <f t="shared" si="9"/>
        <v>275621.25</v>
      </c>
    </row>
    <row r="591" spans="1:12" x14ac:dyDescent="0.3">
      <c r="A591" s="31">
        <v>8</v>
      </c>
      <c r="B591" s="33" t="s">
        <v>31</v>
      </c>
      <c r="C591" s="33" t="s">
        <v>12</v>
      </c>
      <c r="D591" s="17">
        <v>712190</v>
      </c>
      <c r="E591" s="7">
        <v>1000000</v>
      </c>
      <c r="F591" s="17">
        <v>83799</v>
      </c>
      <c r="G591" s="17">
        <v>77</v>
      </c>
      <c r="H591" s="17">
        <v>92805</v>
      </c>
      <c r="I591" s="17">
        <v>36347</v>
      </c>
      <c r="J591" s="17">
        <v>75188</v>
      </c>
      <c r="K591" s="6">
        <v>2024</v>
      </c>
      <c r="L591" s="12">
        <f t="shared" si="9"/>
        <v>294151</v>
      </c>
    </row>
    <row r="592" spans="1:12" x14ac:dyDescent="0.3">
      <c r="A592" s="31">
        <v>9</v>
      </c>
      <c r="B592" s="33" t="s">
        <v>11</v>
      </c>
      <c r="C592" s="33" t="s">
        <v>12</v>
      </c>
      <c r="D592" s="17">
        <v>706020</v>
      </c>
      <c r="E592" s="7">
        <v>920463</v>
      </c>
      <c r="F592" s="17">
        <v>88148</v>
      </c>
      <c r="G592" s="17">
        <v>78</v>
      </c>
      <c r="H592" s="17">
        <v>87934</v>
      </c>
      <c r="I592" s="17">
        <v>43239</v>
      </c>
      <c r="J592" s="17">
        <v>86525</v>
      </c>
      <c r="K592" s="6">
        <v>2024</v>
      </c>
      <c r="L592" s="12">
        <f t="shared" si="9"/>
        <v>274136.25</v>
      </c>
    </row>
    <row r="593" spans="1:12" x14ac:dyDescent="0.3">
      <c r="A593" s="31">
        <v>10</v>
      </c>
      <c r="B593" s="33" t="s">
        <v>22</v>
      </c>
      <c r="C593" s="33" t="s">
        <v>17</v>
      </c>
      <c r="D593" s="17">
        <v>705690</v>
      </c>
      <c r="E593" s="7">
        <v>866266</v>
      </c>
      <c r="F593" s="17">
        <v>90385</v>
      </c>
      <c r="G593" s="17">
        <v>76</v>
      </c>
      <c r="H593" s="17">
        <v>87599</v>
      </c>
      <c r="I593" s="17">
        <v>56188</v>
      </c>
      <c r="J593" s="17">
        <v>56224</v>
      </c>
      <c r="K593" s="6">
        <v>2024</v>
      </c>
      <c r="L593" s="12">
        <f t="shared" si="9"/>
        <v>261062.5</v>
      </c>
    </row>
    <row r="594" spans="1:12" x14ac:dyDescent="0.3">
      <c r="A594" s="31">
        <v>11</v>
      </c>
      <c r="B594" s="33" t="s">
        <v>21</v>
      </c>
      <c r="C594" s="33" t="s">
        <v>17</v>
      </c>
      <c r="D594" s="17">
        <v>702920</v>
      </c>
      <c r="E594" s="7">
        <v>845752</v>
      </c>
      <c r="F594" s="17">
        <v>94458</v>
      </c>
      <c r="G594" s="17">
        <v>75</v>
      </c>
      <c r="H594" s="17">
        <v>86357</v>
      </c>
      <c r="I594" s="17">
        <v>56406</v>
      </c>
      <c r="J594" s="17">
        <v>83500</v>
      </c>
      <c r="K594" s="6">
        <v>2024</v>
      </c>
      <c r="L594" s="12">
        <f t="shared" si="9"/>
        <v>256641.75</v>
      </c>
    </row>
    <row r="595" spans="1:12" x14ac:dyDescent="0.3">
      <c r="A595" s="31">
        <v>12</v>
      </c>
      <c r="B595" s="33" t="s">
        <v>25</v>
      </c>
      <c r="C595" s="33" t="s">
        <v>26</v>
      </c>
      <c r="D595" s="17">
        <v>695540</v>
      </c>
      <c r="E595" s="7">
        <v>729097</v>
      </c>
      <c r="F595" s="17">
        <v>84936</v>
      </c>
      <c r="G595" s="17">
        <v>75</v>
      </c>
      <c r="H595" s="17">
        <v>92260</v>
      </c>
      <c r="I595" s="17">
        <v>27072</v>
      </c>
      <c r="J595" s="17">
        <v>21378</v>
      </c>
      <c r="K595" s="6">
        <v>2024</v>
      </c>
      <c r="L595" s="12">
        <f t="shared" si="9"/>
        <v>226573.25</v>
      </c>
    </row>
    <row r="596" spans="1:12" x14ac:dyDescent="0.3">
      <c r="A596" s="31">
        <v>13</v>
      </c>
      <c r="B596" s="33" t="s">
        <v>56</v>
      </c>
      <c r="C596" s="33" t="s">
        <v>24</v>
      </c>
      <c r="D596" s="17">
        <v>695140</v>
      </c>
      <c r="E596" s="7">
        <v>861974</v>
      </c>
      <c r="F596" s="17">
        <v>84357</v>
      </c>
      <c r="G596" s="17">
        <v>75</v>
      </c>
      <c r="H596" s="17">
        <v>95743</v>
      </c>
      <c r="I596" s="17">
        <v>49779</v>
      </c>
      <c r="J596" s="17">
        <v>29849</v>
      </c>
      <c r="K596" s="6">
        <v>2024</v>
      </c>
      <c r="L596" s="12">
        <f t="shared" si="9"/>
        <v>260518.5</v>
      </c>
    </row>
    <row r="597" spans="1:12" x14ac:dyDescent="0.3">
      <c r="A597" s="31">
        <v>14</v>
      </c>
      <c r="B597" s="33" t="s">
        <v>27</v>
      </c>
      <c r="C597" s="33" t="s">
        <v>12</v>
      </c>
      <c r="D597" s="17">
        <v>690470</v>
      </c>
      <c r="E597" s="7">
        <v>880752</v>
      </c>
      <c r="F597" s="17">
        <v>82671</v>
      </c>
      <c r="G597" s="17">
        <v>76</v>
      </c>
      <c r="H597" s="17">
        <v>81399</v>
      </c>
      <c r="I597" s="17">
        <v>53362</v>
      </c>
      <c r="J597" s="17">
        <v>52956</v>
      </c>
      <c r="K597" s="6">
        <v>2024</v>
      </c>
      <c r="L597" s="12">
        <f t="shared" si="9"/>
        <v>261205.5</v>
      </c>
    </row>
    <row r="598" spans="1:12" x14ac:dyDescent="0.3">
      <c r="A598" s="31">
        <v>15</v>
      </c>
      <c r="B598" s="33" t="s">
        <v>16</v>
      </c>
      <c r="C598" s="33" t="s">
        <v>17</v>
      </c>
      <c r="D598" s="17">
        <v>689960</v>
      </c>
      <c r="E598" s="7">
        <v>859474</v>
      </c>
      <c r="F598" s="17">
        <v>90232</v>
      </c>
      <c r="G598" s="17">
        <v>76</v>
      </c>
      <c r="H598" s="17">
        <v>84565</v>
      </c>
      <c r="I598" s="17">
        <v>57434</v>
      </c>
      <c r="J598" s="17">
        <v>64026</v>
      </c>
      <c r="K598" s="6">
        <v>2024</v>
      </c>
      <c r="L598" s="12">
        <f t="shared" si="9"/>
        <v>258567.75</v>
      </c>
    </row>
    <row r="599" spans="1:12" x14ac:dyDescent="0.3">
      <c r="A599" s="31">
        <v>16</v>
      </c>
      <c r="B599" s="33" t="s">
        <v>33</v>
      </c>
      <c r="C599" s="33" t="s">
        <v>12</v>
      </c>
      <c r="D599" s="17">
        <v>689420</v>
      </c>
      <c r="E599" s="7">
        <v>872705</v>
      </c>
      <c r="F599" s="17">
        <v>89106</v>
      </c>
      <c r="G599" s="17">
        <v>76</v>
      </c>
      <c r="H599" s="17">
        <v>84413</v>
      </c>
      <c r="I599" s="17">
        <v>42531</v>
      </c>
      <c r="J599" s="17">
        <v>54042</v>
      </c>
      <c r="K599" s="6">
        <v>2024</v>
      </c>
      <c r="L599" s="12">
        <f t="shared" si="9"/>
        <v>261556</v>
      </c>
    </row>
    <row r="600" spans="1:12" x14ac:dyDescent="0.3">
      <c r="A600" s="31">
        <v>17</v>
      </c>
      <c r="B600" s="33" t="s">
        <v>32</v>
      </c>
      <c r="C600" s="33" t="s">
        <v>12</v>
      </c>
      <c r="D600" s="17">
        <v>683800</v>
      </c>
      <c r="E600" s="7">
        <v>994539</v>
      </c>
      <c r="F600" s="17">
        <v>85979</v>
      </c>
      <c r="G600" s="17">
        <v>76</v>
      </c>
      <c r="H600" s="17">
        <v>87756</v>
      </c>
      <c r="I600" s="17">
        <v>51196</v>
      </c>
      <c r="J600" s="17">
        <v>72707</v>
      </c>
      <c r="K600" s="6">
        <v>2024</v>
      </c>
      <c r="L600" s="12">
        <f t="shared" si="9"/>
        <v>292068.5</v>
      </c>
    </row>
    <row r="601" spans="1:12" x14ac:dyDescent="0.3">
      <c r="A601" s="31">
        <v>18</v>
      </c>
      <c r="B601" s="33" t="s">
        <v>193</v>
      </c>
      <c r="C601" s="33" t="s">
        <v>12</v>
      </c>
      <c r="D601" s="17">
        <v>682180</v>
      </c>
      <c r="E601" s="7">
        <v>833065</v>
      </c>
      <c r="F601" s="17">
        <v>93473</v>
      </c>
      <c r="G601" s="17">
        <v>74</v>
      </c>
      <c r="H601" s="17">
        <v>91101</v>
      </c>
      <c r="I601" s="17">
        <v>44123</v>
      </c>
      <c r="J601" s="17">
        <v>11798</v>
      </c>
      <c r="K601" s="6">
        <v>2024</v>
      </c>
      <c r="L601" s="12">
        <f t="shared" si="9"/>
        <v>254409.75</v>
      </c>
    </row>
    <row r="602" spans="1:12" x14ac:dyDescent="0.3">
      <c r="A602" s="31">
        <v>19</v>
      </c>
      <c r="B602" s="33" t="s">
        <v>74</v>
      </c>
      <c r="C602" s="33" t="s">
        <v>12</v>
      </c>
      <c r="D602" s="17">
        <v>681750</v>
      </c>
      <c r="E602" s="7">
        <v>824885</v>
      </c>
      <c r="F602" s="17">
        <v>89920</v>
      </c>
      <c r="G602" s="17">
        <v>73</v>
      </c>
      <c r="H602" s="17">
        <v>61701</v>
      </c>
      <c r="I602" s="17">
        <v>10937</v>
      </c>
      <c r="J602" s="17">
        <v>20143</v>
      </c>
      <c r="K602" s="6">
        <v>2024</v>
      </c>
      <c r="L602" s="12">
        <f t="shared" si="9"/>
        <v>244126.5</v>
      </c>
    </row>
    <row r="603" spans="1:12" x14ac:dyDescent="0.3">
      <c r="A603" s="31">
        <v>20</v>
      </c>
      <c r="B603" s="33" t="s">
        <v>35</v>
      </c>
      <c r="C603" s="33" t="s">
        <v>12</v>
      </c>
      <c r="D603" s="17">
        <v>674900</v>
      </c>
      <c r="E603" s="7">
        <v>851296</v>
      </c>
      <c r="F603" s="17">
        <v>82035</v>
      </c>
      <c r="G603" s="17">
        <v>75</v>
      </c>
      <c r="H603" s="17">
        <v>82599</v>
      </c>
      <c r="I603" s="17">
        <v>66512</v>
      </c>
      <c r="J603" s="17">
        <v>61091</v>
      </c>
      <c r="K603" s="6">
        <v>2024</v>
      </c>
      <c r="L603" s="12">
        <f t="shared" si="9"/>
        <v>253982.5</v>
      </c>
    </row>
    <row r="604" spans="1:12" x14ac:dyDescent="0.3">
      <c r="A604" s="31">
        <v>21</v>
      </c>
      <c r="B604" s="33" t="s">
        <v>73</v>
      </c>
      <c r="C604" s="33" t="s">
        <v>47</v>
      </c>
      <c r="D604" s="17">
        <v>674330</v>
      </c>
      <c r="E604" s="7">
        <v>834190</v>
      </c>
      <c r="F604" s="17">
        <v>92928</v>
      </c>
      <c r="G604" s="17">
        <v>76</v>
      </c>
      <c r="H604" s="17">
        <v>91448</v>
      </c>
      <c r="I604" s="17">
        <v>39295</v>
      </c>
      <c r="J604" s="17">
        <v>22707</v>
      </c>
      <c r="K604" s="6">
        <v>2024</v>
      </c>
      <c r="L604" s="12">
        <f t="shared" si="9"/>
        <v>254641.5</v>
      </c>
    </row>
    <row r="605" spans="1:12" x14ac:dyDescent="0.3">
      <c r="A605" s="31">
        <v>22</v>
      </c>
      <c r="B605" s="33" t="s">
        <v>34</v>
      </c>
      <c r="C605" s="33" t="s">
        <v>24</v>
      </c>
      <c r="D605" s="17">
        <v>673310</v>
      </c>
      <c r="E605" s="7">
        <v>926467</v>
      </c>
      <c r="F605" s="17">
        <v>72003</v>
      </c>
      <c r="G605" s="17">
        <v>72</v>
      </c>
      <c r="H605" s="17">
        <v>94401</v>
      </c>
      <c r="I605" s="17">
        <v>52127</v>
      </c>
      <c r="J605" s="17">
        <v>44914</v>
      </c>
      <c r="K605" s="6">
        <v>2024</v>
      </c>
      <c r="L605" s="12">
        <f t="shared" si="9"/>
        <v>273217.75</v>
      </c>
    </row>
    <row r="606" spans="1:12" x14ac:dyDescent="0.3">
      <c r="A606" s="31">
        <v>23</v>
      </c>
      <c r="B606" s="33" t="s">
        <v>29</v>
      </c>
      <c r="C606" s="33" t="s">
        <v>17</v>
      </c>
      <c r="D606" s="17">
        <v>672480</v>
      </c>
      <c r="E606" s="7">
        <v>905791</v>
      </c>
      <c r="F606" s="17">
        <v>86094</v>
      </c>
      <c r="G606" s="17">
        <v>72</v>
      </c>
      <c r="H606" s="17">
        <v>67918</v>
      </c>
      <c r="I606" s="17">
        <v>55708</v>
      </c>
      <c r="J606" s="17">
        <v>29412</v>
      </c>
      <c r="K606" s="6">
        <v>2024</v>
      </c>
      <c r="L606" s="12">
        <f t="shared" si="9"/>
        <v>264950.75</v>
      </c>
    </row>
    <row r="607" spans="1:12" x14ac:dyDescent="0.3">
      <c r="A607" s="31">
        <v>24</v>
      </c>
      <c r="B607" s="33" t="s">
        <v>41</v>
      </c>
      <c r="C607" s="33" t="s">
        <v>12</v>
      </c>
      <c r="D607" s="17">
        <v>671850</v>
      </c>
      <c r="E607" s="7">
        <v>874242</v>
      </c>
      <c r="F607" s="17">
        <v>85967</v>
      </c>
      <c r="G607" s="17">
        <v>76</v>
      </c>
      <c r="H607" s="17">
        <v>81064</v>
      </c>
      <c r="I607" s="17">
        <v>43453</v>
      </c>
      <c r="J607" s="17">
        <v>63956</v>
      </c>
      <c r="K607" s="6">
        <v>2024</v>
      </c>
      <c r="L607" s="12">
        <f t="shared" si="9"/>
        <v>260318.25</v>
      </c>
    </row>
    <row r="608" spans="1:12" x14ac:dyDescent="0.3">
      <c r="A608" s="31">
        <v>25</v>
      </c>
      <c r="B608" s="33" t="s">
        <v>28</v>
      </c>
      <c r="C608" s="33" t="s">
        <v>26</v>
      </c>
      <c r="D608" s="17">
        <v>667800</v>
      </c>
      <c r="E608" s="7">
        <v>710455</v>
      </c>
      <c r="F608" s="17">
        <v>76782</v>
      </c>
      <c r="G608" s="17">
        <v>72</v>
      </c>
      <c r="H608" s="17">
        <v>83642</v>
      </c>
      <c r="I608" s="17">
        <v>21428</v>
      </c>
      <c r="J608" s="17">
        <v>22021</v>
      </c>
      <c r="K608" s="6">
        <v>2024</v>
      </c>
      <c r="L608" s="12">
        <f t="shared" si="9"/>
        <v>217719.75</v>
      </c>
    </row>
    <row r="609" spans="1:12" x14ac:dyDescent="0.3">
      <c r="A609" s="31">
        <v>26</v>
      </c>
      <c r="B609" s="33" t="s">
        <v>48</v>
      </c>
      <c r="C609" s="33" t="s">
        <v>26</v>
      </c>
      <c r="D609" s="17">
        <v>661150</v>
      </c>
      <c r="E609" s="7">
        <v>745412</v>
      </c>
      <c r="F609" s="17">
        <v>88550</v>
      </c>
      <c r="G609" s="17">
        <v>73</v>
      </c>
      <c r="H609" s="17">
        <v>89791</v>
      </c>
      <c r="I609" s="17">
        <v>26459</v>
      </c>
      <c r="J609" s="17">
        <v>38336</v>
      </c>
      <c r="K609" s="6">
        <v>2024</v>
      </c>
      <c r="L609" s="12">
        <f t="shared" si="9"/>
        <v>230938.25</v>
      </c>
    </row>
    <row r="610" spans="1:12" x14ac:dyDescent="0.3">
      <c r="A610" s="31">
        <v>27</v>
      </c>
      <c r="B610" s="33" t="s">
        <v>44</v>
      </c>
      <c r="C610" s="33" t="s">
        <v>12</v>
      </c>
      <c r="D610" s="17">
        <v>660900</v>
      </c>
      <c r="E610" s="7">
        <v>849487</v>
      </c>
      <c r="F610" s="17">
        <v>83395</v>
      </c>
      <c r="G610" s="17">
        <v>77</v>
      </c>
      <c r="H610" s="17">
        <v>75269</v>
      </c>
      <c r="I610" s="17">
        <v>28013</v>
      </c>
      <c r="J610" s="17">
        <v>48839</v>
      </c>
      <c r="K610" s="6">
        <v>2024</v>
      </c>
      <c r="L610" s="12">
        <f t="shared" si="9"/>
        <v>252037.75</v>
      </c>
    </row>
    <row r="611" spans="1:12" x14ac:dyDescent="0.3">
      <c r="A611" s="31">
        <v>28</v>
      </c>
      <c r="B611" s="33" t="s">
        <v>51</v>
      </c>
      <c r="C611" s="33" t="s">
        <v>24</v>
      </c>
      <c r="D611" s="17">
        <v>659350</v>
      </c>
      <c r="E611" s="7">
        <v>860725</v>
      </c>
      <c r="F611" s="17">
        <v>84171</v>
      </c>
      <c r="G611" s="17">
        <v>71</v>
      </c>
      <c r="H611" s="17">
        <v>91172</v>
      </c>
      <c r="I611" s="17">
        <v>28415</v>
      </c>
      <c r="J611" s="17">
        <v>32685</v>
      </c>
      <c r="K611" s="6">
        <v>2024</v>
      </c>
      <c r="L611" s="12">
        <f t="shared" si="9"/>
        <v>259017</v>
      </c>
    </row>
    <row r="612" spans="1:12" x14ac:dyDescent="0.3">
      <c r="A612" s="31">
        <v>29</v>
      </c>
      <c r="B612" s="33" t="s">
        <v>87</v>
      </c>
      <c r="C612" s="33" t="s">
        <v>47</v>
      </c>
      <c r="D612" s="17">
        <v>656100</v>
      </c>
      <c r="E612" s="7">
        <v>637339</v>
      </c>
      <c r="F612" s="17">
        <v>78985</v>
      </c>
      <c r="G612" s="17">
        <v>73</v>
      </c>
      <c r="H612" s="17">
        <v>85638</v>
      </c>
      <c r="I612" s="17">
        <v>63328</v>
      </c>
      <c r="J612" s="17">
        <v>12630</v>
      </c>
      <c r="K612" s="6">
        <v>2024</v>
      </c>
      <c r="L612" s="12">
        <f t="shared" si="9"/>
        <v>200490.5</v>
      </c>
    </row>
    <row r="613" spans="1:12" x14ac:dyDescent="0.3">
      <c r="A613" s="31">
        <v>30</v>
      </c>
      <c r="B613" s="33" t="s">
        <v>38</v>
      </c>
      <c r="C613" s="33" t="s">
        <v>39</v>
      </c>
      <c r="D613" s="17">
        <v>652280</v>
      </c>
      <c r="E613" s="7">
        <v>989526</v>
      </c>
      <c r="F613" s="17">
        <v>84207</v>
      </c>
      <c r="G613" s="17">
        <v>78</v>
      </c>
      <c r="H613" s="17">
        <v>86056</v>
      </c>
      <c r="I613" s="17">
        <v>41990</v>
      </c>
      <c r="J613" s="17">
        <v>100000</v>
      </c>
      <c r="K613" s="6">
        <v>2024</v>
      </c>
      <c r="L613" s="12">
        <f t="shared" si="9"/>
        <v>289947.25</v>
      </c>
    </row>
    <row r="614" spans="1:12" x14ac:dyDescent="0.3">
      <c r="A614" s="31">
        <v>31</v>
      </c>
      <c r="B614" s="33" t="s">
        <v>184</v>
      </c>
      <c r="C614" s="33" t="s">
        <v>55</v>
      </c>
      <c r="D614" s="17">
        <v>650350</v>
      </c>
      <c r="E614" s="7">
        <v>860343</v>
      </c>
      <c r="F614" s="17">
        <v>83257</v>
      </c>
      <c r="G614" s="17">
        <v>75</v>
      </c>
      <c r="H614" s="17">
        <v>75178</v>
      </c>
      <c r="I614" s="17">
        <v>17043</v>
      </c>
      <c r="J614" s="17">
        <v>35184</v>
      </c>
      <c r="K614" s="6">
        <v>2024</v>
      </c>
      <c r="L614" s="12">
        <f t="shared" si="9"/>
        <v>254694.5</v>
      </c>
    </row>
    <row r="615" spans="1:12" x14ac:dyDescent="0.3">
      <c r="A615" s="31">
        <v>32</v>
      </c>
      <c r="B615" s="33" t="s">
        <v>106</v>
      </c>
      <c r="C615" s="33" t="s">
        <v>47</v>
      </c>
      <c r="D615" s="17">
        <v>649120</v>
      </c>
      <c r="E615" s="7">
        <v>793747</v>
      </c>
      <c r="F615" s="17">
        <v>76443</v>
      </c>
      <c r="G615" s="17">
        <v>73</v>
      </c>
      <c r="H615" s="17">
        <v>83000</v>
      </c>
      <c r="I615" s="17">
        <v>10157</v>
      </c>
      <c r="J615" s="17">
        <v>1098</v>
      </c>
      <c r="K615" s="6">
        <v>2024</v>
      </c>
      <c r="L615" s="12">
        <f t="shared" si="9"/>
        <v>238297.5</v>
      </c>
    </row>
    <row r="616" spans="1:12" x14ac:dyDescent="0.3">
      <c r="A616" s="31">
        <v>33</v>
      </c>
      <c r="B616" s="33" t="s">
        <v>59</v>
      </c>
      <c r="C616" s="33" t="s">
        <v>26</v>
      </c>
      <c r="D616" s="17">
        <v>646870</v>
      </c>
      <c r="E616" s="7">
        <v>591016</v>
      </c>
      <c r="F616" s="17">
        <v>66796</v>
      </c>
      <c r="G616" s="17">
        <v>72</v>
      </c>
      <c r="H616" s="17">
        <v>94521</v>
      </c>
      <c r="I616" s="17">
        <v>20589</v>
      </c>
      <c r="J616" s="17">
        <v>43942</v>
      </c>
      <c r="K616" s="6">
        <v>2024</v>
      </c>
      <c r="L616" s="12">
        <f t="shared" si="9"/>
        <v>188083.25</v>
      </c>
    </row>
    <row r="617" spans="1:12" x14ac:dyDescent="0.3">
      <c r="A617" s="31">
        <v>34</v>
      </c>
      <c r="B617" s="33" t="s">
        <v>92</v>
      </c>
      <c r="C617" s="33" t="s">
        <v>12</v>
      </c>
      <c r="D617" s="17">
        <v>644770</v>
      </c>
      <c r="E617" s="7">
        <v>818422</v>
      </c>
      <c r="F617" s="17">
        <v>94468</v>
      </c>
      <c r="G617" s="17">
        <v>75</v>
      </c>
      <c r="H617" s="17">
        <v>93287</v>
      </c>
      <c r="I617" s="17">
        <v>41531</v>
      </c>
      <c r="J617" s="17">
        <v>69812</v>
      </c>
      <c r="K617" s="6">
        <v>2024</v>
      </c>
      <c r="L617" s="12">
        <f t="shared" si="9"/>
        <v>251544.25</v>
      </c>
    </row>
    <row r="618" spans="1:12" x14ac:dyDescent="0.3">
      <c r="A618" s="31">
        <v>35</v>
      </c>
      <c r="B618" s="33" t="s">
        <v>78</v>
      </c>
      <c r="C618" s="33" t="s">
        <v>47</v>
      </c>
      <c r="D618" s="17">
        <v>644150</v>
      </c>
      <c r="E618" s="7">
        <v>811814</v>
      </c>
      <c r="F618" s="17">
        <v>87680</v>
      </c>
      <c r="G618" s="17">
        <v>74</v>
      </c>
      <c r="H618" s="17">
        <v>69503</v>
      </c>
      <c r="I618" s="17">
        <v>20093</v>
      </c>
      <c r="J618" s="17">
        <v>30482</v>
      </c>
      <c r="K618" s="6">
        <v>2024</v>
      </c>
      <c r="L618" s="12">
        <f t="shared" si="9"/>
        <v>242249.25</v>
      </c>
    </row>
    <row r="619" spans="1:12" x14ac:dyDescent="0.3">
      <c r="A619" s="31">
        <v>36</v>
      </c>
      <c r="B619" s="33" t="s">
        <v>52</v>
      </c>
      <c r="C619" s="33" t="s">
        <v>12</v>
      </c>
      <c r="D619" s="17">
        <v>642090</v>
      </c>
      <c r="E619" s="7">
        <v>825122</v>
      </c>
      <c r="F619" s="17">
        <v>90975</v>
      </c>
      <c r="G619" s="17">
        <v>77</v>
      </c>
      <c r="H619" s="17">
        <v>71697</v>
      </c>
      <c r="I619" s="17">
        <v>29647</v>
      </c>
      <c r="J619" s="17">
        <v>30803</v>
      </c>
      <c r="K619" s="6">
        <v>2024</v>
      </c>
      <c r="L619" s="12">
        <f t="shared" si="9"/>
        <v>246948.5</v>
      </c>
    </row>
    <row r="620" spans="1:12" x14ac:dyDescent="0.3">
      <c r="A620" s="31">
        <v>37</v>
      </c>
      <c r="B620" s="33" t="s">
        <v>107</v>
      </c>
      <c r="C620" s="33" t="s">
        <v>47</v>
      </c>
      <c r="D620" s="17">
        <v>641080</v>
      </c>
      <c r="E620" s="7">
        <v>718435</v>
      </c>
      <c r="F620" s="17">
        <v>86079</v>
      </c>
      <c r="G620" s="17">
        <v>73</v>
      </c>
      <c r="H620" s="17">
        <v>76822</v>
      </c>
      <c r="I620" s="17">
        <v>49932</v>
      </c>
      <c r="J620" s="17">
        <v>17498</v>
      </c>
      <c r="K620" s="6">
        <v>2024</v>
      </c>
      <c r="L620" s="12">
        <f t="shared" si="9"/>
        <v>220334</v>
      </c>
    </row>
    <row r="621" spans="1:12" x14ac:dyDescent="0.3">
      <c r="A621" s="31">
        <v>38</v>
      </c>
      <c r="B621" s="33" t="s">
        <v>42</v>
      </c>
      <c r="C621" s="33" t="s">
        <v>26</v>
      </c>
      <c r="D621" s="17">
        <v>636030</v>
      </c>
      <c r="E621" s="7">
        <v>755165</v>
      </c>
      <c r="F621" s="17">
        <v>84687</v>
      </c>
      <c r="G621" s="17">
        <v>76</v>
      </c>
      <c r="H621" s="17">
        <v>75386</v>
      </c>
      <c r="I621" s="17">
        <v>29188</v>
      </c>
      <c r="J621" s="17">
        <v>13124</v>
      </c>
      <c r="K621" s="6">
        <v>2024</v>
      </c>
      <c r="L621" s="12">
        <f t="shared" si="9"/>
        <v>228809.5</v>
      </c>
    </row>
    <row r="622" spans="1:12" x14ac:dyDescent="0.3">
      <c r="A622" s="31">
        <v>39</v>
      </c>
      <c r="B622" s="33" t="s">
        <v>40</v>
      </c>
      <c r="C622" s="33" t="s">
        <v>26</v>
      </c>
      <c r="D622" s="17">
        <v>635820</v>
      </c>
      <c r="E622" s="7">
        <v>795002</v>
      </c>
      <c r="F622" s="17">
        <v>86110</v>
      </c>
      <c r="G622" s="17">
        <v>74</v>
      </c>
      <c r="H622" s="17">
        <v>83389</v>
      </c>
      <c r="I622" s="17">
        <v>15643</v>
      </c>
      <c r="J622" s="17">
        <v>7394</v>
      </c>
      <c r="K622" s="6">
        <v>2024</v>
      </c>
      <c r="L622" s="12">
        <f t="shared" si="9"/>
        <v>241125.25</v>
      </c>
    </row>
    <row r="623" spans="1:12" x14ac:dyDescent="0.3">
      <c r="A623" s="31">
        <v>40</v>
      </c>
      <c r="B623" s="33" t="s">
        <v>53</v>
      </c>
      <c r="C623" s="33" t="s">
        <v>12</v>
      </c>
      <c r="D623" s="17">
        <v>634580</v>
      </c>
      <c r="E623" s="7">
        <v>853500</v>
      </c>
      <c r="F623" s="17">
        <v>89302</v>
      </c>
      <c r="G623" s="17">
        <v>77</v>
      </c>
      <c r="H623" s="17">
        <v>84210</v>
      </c>
      <c r="I623" s="17">
        <v>62382</v>
      </c>
      <c r="J623" s="17">
        <v>21683</v>
      </c>
      <c r="K623" s="6">
        <v>2024</v>
      </c>
      <c r="L623" s="12">
        <f t="shared" si="9"/>
        <v>256753</v>
      </c>
    </row>
    <row r="624" spans="1:12" x14ac:dyDescent="0.3">
      <c r="A624" s="31">
        <v>41</v>
      </c>
      <c r="B624" s="33" t="s">
        <v>68</v>
      </c>
      <c r="C624" s="33" t="s">
        <v>12</v>
      </c>
      <c r="D624" s="17">
        <v>632350</v>
      </c>
      <c r="E624" s="7">
        <v>840988</v>
      </c>
      <c r="F624" s="17">
        <v>82166</v>
      </c>
      <c r="G624" s="17">
        <v>77</v>
      </c>
      <c r="H624" s="17">
        <v>59420</v>
      </c>
      <c r="I624" s="17">
        <v>27972</v>
      </c>
      <c r="J624" s="17">
        <v>12791</v>
      </c>
      <c r="K624" s="6">
        <v>2024</v>
      </c>
      <c r="L624" s="12">
        <f t="shared" si="9"/>
        <v>245643.5</v>
      </c>
    </row>
    <row r="625" spans="1:12" x14ac:dyDescent="0.3">
      <c r="A625" s="31">
        <v>42</v>
      </c>
      <c r="B625" s="33" t="s">
        <v>60</v>
      </c>
      <c r="C625" s="33" t="s">
        <v>26</v>
      </c>
      <c r="D625" s="17">
        <v>628700</v>
      </c>
      <c r="E625" s="7">
        <v>588421</v>
      </c>
      <c r="F625" s="17">
        <v>72309</v>
      </c>
      <c r="G625" s="17">
        <v>69</v>
      </c>
      <c r="H625" s="17">
        <v>85171</v>
      </c>
      <c r="I625" s="17">
        <v>26280</v>
      </c>
      <c r="J625" s="17">
        <v>13523</v>
      </c>
      <c r="K625" s="6">
        <v>2024</v>
      </c>
      <c r="L625" s="12">
        <f t="shared" si="9"/>
        <v>186475.25</v>
      </c>
    </row>
    <row r="626" spans="1:12" x14ac:dyDescent="0.3">
      <c r="A626" s="31">
        <v>43</v>
      </c>
      <c r="B626" s="33" t="s">
        <v>75</v>
      </c>
      <c r="C626" s="33" t="s">
        <v>26</v>
      </c>
      <c r="D626" s="17">
        <v>628390</v>
      </c>
      <c r="E626" s="7">
        <v>512620</v>
      </c>
      <c r="F626" s="17">
        <v>78144</v>
      </c>
      <c r="G626" s="17">
        <v>72</v>
      </c>
      <c r="H626" s="17">
        <v>91901</v>
      </c>
      <c r="I626" s="17">
        <v>33206</v>
      </c>
      <c r="J626" s="17">
        <v>43645</v>
      </c>
      <c r="K626" s="6">
        <v>2024</v>
      </c>
      <c r="L626" s="12">
        <f t="shared" si="9"/>
        <v>170666.25</v>
      </c>
    </row>
    <row r="627" spans="1:12" x14ac:dyDescent="0.3">
      <c r="A627" s="31">
        <v>44</v>
      </c>
      <c r="B627" s="33" t="s">
        <v>30</v>
      </c>
      <c r="C627" s="33" t="s">
        <v>26</v>
      </c>
      <c r="D627" s="17">
        <v>627200</v>
      </c>
      <c r="E627" s="7">
        <v>667841</v>
      </c>
      <c r="F627" s="17">
        <v>78488</v>
      </c>
      <c r="G627" s="17">
        <v>72</v>
      </c>
      <c r="H627" s="17">
        <v>79370</v>
      </c>
      <c r="I627" s="17">
        <v>32444</v>
      </c>
      <c r="J627" s="17">
        <v>24769</v>
      </c>
      <c r="K627" s="6">
        <v>2024</v>
      </c>
      <c r="L627" s="12">
        <f t="shared" si="9"/>
        <v>206424.75</v>
      </c>
    </row>
    <row r="628" spans="1:12" x14ac:dyDescent="0.3">
      <c r="A628" s="31">
        <v>45</v>
      </c>
      <c r="B628" s="33" t="s">
        <v>63</v>
      </c>
      <c r="C628" s="33" t="s">
        <v>47</v>
      </c>
      <c r="D628" s="17">
        <v>625710</v>
      </c>
      <c r="E628" s="7">
        <v>796789</v>
      </c>
      <c r="F628" s="17">
        <v>95284</v>
      </c>
      <c r="G628" s="17">
        <v>74</v>
      </c>
      <c r="H628" s="17">
        <v>65609</v>
      </c>
      <c r="I628" s="17">
        <v>23964</v>
      </c>
      <c r="J628" s="17">
        <v>10071</v>
      </c>
      <c r="K628" s="6">
        <v>2024</v>
      </c>
      <c r="L628" s="12">
        <f t="shared" si="9"/>
        <v>239420.5</v>
      </c>
    </row>
    <row r="629" spans="1:12" x14ac:dyDescent="0.3">
      <c r="A629" s="31">
        <v>46</v>
      </c>
      <c r="B629" s="33" t="s">
        <v>109</v>
      </c>
      <c r="C629" s="33" t="s">
        <v>12</v>
      </c>
      <c r="D629" s="17">
        <v>623450</v>
      </c>
      <c r="E629" s="7">
        <v>794337</v>
      </c>
      <c r="F629" s="17">
        <v>93316</v>
      </c>
      <c r="G629" s="17">
        <v>72</v>
      </c>
      <c r="H629" s="17">
        <v>77177</v>
      </c>
      <c r="I629" s="17">
        <v>31732</v>
      </c>
      <c r="J629" s="17">
        <v>13639</v>
      </c>
      <c r="K629" s="6">
        <v>2024</v>
      </c>
      <c r="L629" s="12">
        <f t="shared" si="9"/>
        <v>241207.5</v>
      </c>
    </row>
    <row r="630" spans="1:12" x14ac:dyDescent="0.3">
      <c r="A630" s="31">
        <v>47</v>
      </c>
      <c r="B630" s="33" t="s">
        <v>61</v>
      </c>
      <c r="C630" s="33" t="s">
        <v>62</v>
      </c>
      <c r="D630" s="17">
        <v>619500</v>
      </c>
      <c r="E630" s="7">
        <v>566075</v>
      </c>
      <c r="F630" s="17">
        <v>86264</v>
      </c>
      <c r="G630" s="17">
        <v>71</v>
      </c>
      <c r="H630" s="17">
        <v>96713</v>
      </c>
      <c r="I630" s="17">
        <v>62743</v>
      </c>
      <c r="J630" s="17">
        <v>37326</v>
      </c>
      <c r="K630" s="6">
        <v>2024</v>
      </c>
      <c r="L630" s="12">
        <f t="shared" si="9"/>
        <v>187263</v>
      </c>
    </row>
    <row r="631" spans="1:12" x14ac:dyDescent="0.3">
      <c r="A631" s="31">
        <v>48</v>
      </c>
      <c r="B631" s="33" t="s">
        <v>45</v>
      </c>
      <c r="C631" s="33" t="s">
        <v>26</v>
      </c>
      <c r="D631" s="17">
        <v>618810</v>
      </c>
      <c r="E631" s="7">
        <v>729612</v>
      </c>
      <c r="F631" s="17">
        <v>85449</v>
      </c>
      <c r="G631" s="17">
        <v>73</v>
      </c>
      <c r="H631" s="17">
        <v>78851</v>
      </c>
      <c r="I631" s="17">
        <v>21822</v>
      </c>
      <c r="J631" s="17">
        <v>13990</v>
      </c>
      <c r="K631" s="6">
        <v>2024</v>
      </c>
      <c r="L631" s="12">
        <f t="shared" si="9"/>
        <v>223478</v>
      </c>
    </row>
    <row r="632" spans="1:12" x14ac:dyDescent="0.3">
      <c r="A632" s="31">
        <v>49</v>
      </c>
      <c r="B632" s="33" t="s">
        <v>72</v>
      </c>
      <c r="C632" s="33" t="s">
        <v>62</v>
      </c>
      <c r="D632" s="17">
        <v>618750</v>
      </c>
      <c r="E632" s="7">
        <v>757991</v>
      </c>
      <c r="F632" s="17">
        <v>90110</v>
      </c>
      <c r="G632" s="17">
        <v>72</v>
      </c>
      <c r="H632" s="17">
        <v>84855</v>
      </c>
      <c r="I632" s="17">
        <v>37190</v>
      </c>
      <c r="J632" s="17">
        <v>20823</v>
      </c>
      <c r="K632" s="6">
        <v>2024</v>
      </c>
      <c r="L632" s="12">
        <f t="shared" si="9"/>
        <v>233239</v>
      </c>
    </row>
    <row r="633" spans="1:12" x14ac:dyDescent="0.3">
      <c r="A633" s="31">
        <v>50</v>
      </c>
      <c r="B633" s="33" t="s">
        <v>85</v>
      </c>
      <c r="C633" s="33" t="s">
        <v>12</v>
      </c>
      <c r="D633" s="17">
        <v>606810</v>
      </c>
      <c r="E633" s="7">
        <v>838021</v>
      </c>
      <c r="F633" s="17">
        <v>75284</v>
      </c>
      <c r="G633" s="17">
        <v>78</v>
      </c>
      <c r="H633" s="17">
        <v>61250</v>
      </c>
      <c r="I633" s="17">
        <v>31061</v>
      </c>
      <c r="J633" s="17">
        <v>8551</v>
      </c>
      <c r="K633" s="6">
        <v>2024</v>
      </c>
      <c r="L633" s="12">
        <f t="shared" si="9"/>
        <v>243638.75</v>
      </c>
    </row>
    <row r="634" spans="1:12" x14ac:dyDescent="0.3">
      <c r="A634" s="31">
        <v>51</v>
      </c>
      <c r="B634" s="33" t="s">
        <v>64</v>
      </c>
      <c r="C634" s="33" t="s">
        <v>55</v>
      </c>
      <c r="D634" s="17">
        <v>605980</v>
      </c>
      <c r="E634" s="7">
        <v>834247</v>
      </c>
      <c r="F634" s="17">
        <v>83783</v>
      </c>
      <c r="G634" s="17">
        <v>79</v>
      </c>
      <c r="H634" s="17">
        <v>73149</v>
      </c>
      <c r="I634" s="17">
        <v>5678</v>
      </c>
      <c r="J634" s="17">
        <v>38154</v>
      </c>
      <c r="K634" s="6">
        <v>2024</v>
      </c>
      <c r="L634" s="12">
        <f t="shared" si="9"/>
        <v>247794.75</v>
      </c>
    </row>
    <row r="635" spans="1:12" x14ac:dyDescent="0.3">
      <c r="A635" s="31">
        <v>52</v>
      </c>
      <c r="B635" s="33" t="s">
        <v>65</v>
      </c>
      <c r="C635" s="33" t="s">
        <v>55</v>
      </c>
      <c r="D635" s="17">
        <v>605790</v>
      </c>
      <c r="E635" s="7">
        <v>847919</v>
      </c>
      <c r="F635" s="17">
        <v>72875</v>
      </c>
      <c r="G635" s="17">
        <v>78</v>
      </c>
      <c r="H635" s="17">
        <v>64248</v>
      </c>
      <c r="I635" s="17">
        <v>31515</v>
      </c>
      <c r="J635" s="17">
        <v>27461</v>
      </c>
      <c r="K635" s="6">
        <v>2024</v>
      </c>
      <c r="L635" s="12">
        <f t="shared" si="9"/>
        <v>246260.5</v>
      </c>
    </row>
    <row r="636" spans="1:12" x14ac:dyDescent="0.3">
      <c r="A636" s="31">
        <v>53</v>
      </c>
      <c r="B636" s="33" t="s">
        <v>110</v>
      </c>
      <c r="C636" s="33" t="s">
        <v>39</v>
      </c>
      <c r="D636" s="17">
        <v>604760</v>
      </c>
      <c r="E636" s="7">
        <v>575533</v>
      </c>
      <c r="F636" s="17">
        <v>70890</v>
      </c>
      <c r="G636" s="17">
        <v>68</v>
      </c>
      <c r="H636" s="17">
        <v>95708</v>
      </c>
      <c r="I636" s="17">
        <v>24622</v>
      </c>
      <c r="J636" s="17">
        <v>23652</v>
      </c>
      <c r="K636" s="6">
        <v>2024</v>
      </c>
      <c r="L636" s="12">
        <f t="shared" si="9"/>
        <v>185532.75</v>
      </c>
    </row>
    <row r="637" spans="1:12" x14ac:dyDescent="0.3">
      <c r="A637" s="31">
        <v>54</v>
      </c>
      <c r="B637" s="33" t="s">
        <v>94</v>
      </c>
      <c r="C637" s="33" t="s">
        <v>39</v>
      </c>
      <c r="D637" s="17">
        <v>604300</v>
      </c>
      <c r="E637" s="7">
        <v>621579</v>
      </c>
      <c r="F637" s="17">
        <v>78378</v>
      </c>
      <c r="G637" s="17">
        <v>71</v>
      </c>
      <c r="H637" s="17">
        <v>97594</v>
      </c>
      <c r="I637" s="17">
        <v>23369</v>
      </c>
      <c r="J637" s="17">
        <v>27818</v>
      </c>
      <c r="K637" s="6">
        <v>2024</v>
      </c>
      <c r="L637" s="12">
        <f t="shared" si="9"/>
        <v>199387.75</v>
      </c>
    </row>
    <row r="638" spans="1:12" x14ac:dyDescent="0.3">
      <c r="A638" s="31">
        <v>55</v>
      </c>
      <c r="B638" s="33" t="s">
        <v>108</v>
      </c>
      <c r="C638" s="33" t="s">
        <v>12</v>
      </c>
      <c r="D638" s="17">
        <v>602960</v>
      </c>
      <c r="E638" s="7">
        <v>807075</v>
      </c>
      <c r="F638" s="17">
        <v>84609</v>
      </c>
      <c r="G638" s="17">
        <v>76</v>
      </c>
      <c r="H638" s="17">
        <v>87646</v>
      </c>
      <c r="I638" s="17">
        <v>11640</v>
      </c>
      <c r="J638" s="17">
        <v>6145</v>
      </c>
      <c r="K638" s="6">
        <v>2024</v>
      </c>
      <c r="L638" s="12">
        <f t="shared" si="9"/>
        <v>244832.5</v>
      </c>
    </row>
    <row r="639" spans="1:12" x14ac:dyDescent="0.3">
      <c r="A639" s="31">
        <v>56</v>
      </c>
      <c r="B639" s="33" t="s">
        <v>124</v>
      </c>
      <c r="C639" s="33" t="s">
        <v>47</v>
      </c>
      <c r="D639" s="17">
        <v>601690</v>
      </c>
      <c r="E639" s="7">
        <v>804511</v>
      </c>
      <c r="F639" s="17">
        <v>94537</v>
      </c>
      <c r="G639" s="17">
        <v>73</v>
      </c>
      <c r="H639" s="17">
        <v>67289</v>
      </c>
      <c r="I639" s="17">
        <v>30601</v>
      </c>
      <c r="J639" s="17">
        <v>11669</v>
      </c>
      <c r="K639" s="6">
        <v>2024</v>
      </c>
      <c r="L639" s="12">
        <f t="shared" si="9"/>
        <v>241584.25</v>
      </c>
    </row>
    <row r="640" spans="1:12" x14ac:dyDescent="0.3">
      <c r="A640" s="31">
        <v>57</v>
      </c>
      <c r="B640" s="33" t="s">
        <v>71</v>
      </c>
      <c r="C640" s="33" t="s">
        <v>26</v>
      </c>
      <c r="D640" s="17">
        <v>597650</v>
      </c>
      <c r="E640" s="7">
        <v>653179</v>
      </c>
      <c r="F640" s="17">
        <v>87101</v>
      </c>
      <c r="G640" s="17">
        <v>72</v>
      </c>
      <c r="H640" s="17">
        <v>91225</v>
      </c>
      <c r="I640" s="17">
        <v>32787</v>
      </c>
      <c r="J640" s="17">
        <v>11354</v>
      </c>
      <c r="K640" s="6">
        <v>2024</v>
      </c>
      <c r="L640" s="12">
        <f t="shared" si="9"/>
        <v>207876.25</v>
      </c>
    </row>
    <row r="641" spans="1:12" x14ac:dyDescent="0.3">
      <c r="A641" s="31">
        <v>58</v>
      </c>
      <c r="B641" s="33" t="s">
        <v>50</v>
      </c>
      <c r="C641" s="33" t="s">
        <v>39</v>
      </c>
      <c r="D641" s="17">
        <v>597610</v>
      </c>
      <c r="E641" s="7">
        <v>693387</v>
      </c>
      <c r="F641" s="17">
        <v>83309</v>
      </c>
      <c r="G641" s="17">
        <v>74</v>
      </c>
      <c r="H641" s="17">
        <v>87531</v>
      </c>
      <c r="I641" s="17">
        <v>70510</v>
      </c>
      <c r="J641" s="17">
        <v>4204</v>
      </c>
      <c r="K641" s="6">
        <v>2024</v>
      </c>
      <c r="L641" s="12">
        <f t="shared" si="9"/>
        <v>216056.75</v>
      </c>
    </row>
    <row r="642" spans="1:12" x14ac:dyDescent="0.3">
      <c r="A642" s="31">
        <v>59</v>
      </c>
      <c r="B642" s="33" t="s">
        <v>79</v>
      </c>
      <c r="C642" s="33" t="s">
        <v>39</v>
      </c>
      <c r="D642" s="17">
        <v>597520</v>
      </c>
      <c r="E642" s="7">
        <v>768912</v>
      </c>
      <c r="F642" s="17">
        <v>70737</v>
      </c>
      <c r="G642" s="17">
        <v>71</v>
      </c>
      <c r="H642" s="17">
        <v>95971</v>
      </c>
      <c r="I642" s="17">
        <v>56377</v>
      </c>
      <c r="J642" s="17">
        <v>20700</v>
      </c>
      <c r="K642" s="6">
        <v>2024</v>
      </c>
      <c r="L642" s="12">
        <f t="shared" si="9"/>
        <v>233905</v>
      </c>
    </row>
    <row r="643" spans="1:12" x14ac:dyDescent="0.3">
      <c r="A643" s="31">
        <v>60</v>
      </c>
      <c r="B643" s="33" t="s">
        <v>104</v>
      </c>
      <c r="C643" s="33" t="s">
        <v>55</v>
      </c>
      <c r="D643" s="17">
        <v>597270</v>
      </c>
      <c r="E643" s="7">
        <v>699292</v>
      </c>
      <c r="F643" s="17">
        <v>76627</v>
      </c>
      <c r="G643" s="17">
        <v>74</v>
      </c>
      <c r="H643" s="17">
        <v>81592</v>
      </c>
      <c r="I643" s="17">
        <v>32887</v>
      </c>
      <c r="J643" s="17">
        <v>28430</v>
      </c>
      <c r="K643" s="6">
        <v>2024</v>
      </c>
      <c r="L643" s="12">
        <f t="shared" ref="L643:L706" si="10">AVERAGE(E643,F643,H643,)</f>
        <v>214377.75</v>
      </c>
    </row>
    <row r="644" spans="1:12" x14ac:dyDescent="0.3">
      <c r="A644" s="31">
        <v>61</v>
      </c>
      <c r="B644" s="33" t="s">
        <v>125</v>
      </c>
      <c r="C644" s="33" t="s">
        <v>26</v>
      </c>
      <c r="D644" s="17">
        <v>596840</v>
      </c>
      <c r="E644" s="7">
        <v>509547</v>
      </c>
      <c r="F644" s="17">
        <v>64055</v>
      </c>
      <c r="G644" s="17">
        <v>70</v>
      </c>
      <c r="H644" s="17">
        <v>83384</v>
      </c>
      <c r="I644" s="17">
        <v>43745</v>
      </c>
      <c r="J644" s="17">
        <v>14046</v>
      </c>
      <c r="K644" s="6">
        <v>2024</v>
      </c>
      <c r="L644" s="12">
        <f t="shared" si="10"/>
        <v>164246.5</v>
      </c>
    </row>
    <row r="645" spans="1:12" x14ac:dyDescent="0.3">
      <c r="A645" s="31">
        <v>62</v>
      </c>
      <c r="B645" s="33" t="s">
        <v>80</v>
      </c>
      <c r="C645" s="33" t="s">
        <v>47</v>
      </c>
      <c r="D645" s="17">
        <v>594230</v>
      </c>
      <c r="E645" s="7">
        <v>798916</v>
      </c>
      <c r="F645" s="17">
        <v>89374</v>
      </c>
      <c r="G645" s="17">
        <v>74</v>
      </c>
      <c r="H645" s="17">
        <v>54346</v>
      </c>
      <c r="I645" s="17">
        <v>16046</v>
      </c>
      <c r="J645" s="17">
        <v>7452</v>
      </c>
      <c r="K645" s="6">
        <v>2024</v>
      </c>
      <c r="L645" s="12">
        <f t="shared" si="10"/>
        <v>235659</v>
      </c>
    </row>
    <row r="646" spans="1:12" x14ac:dyDescent="0.3">
      <c r="A646" s="31">
        <v>63</v>
      </c>
      <c r="B646" s="33" t="s">
        <v>122</v>
      </c>
      <c r="C646" s="33" t="s">
        <v>24</v>
      </c>
      <c r="D646" s="17">
        <v>593360</v>
      </c>
      <c r="E646" s="7">
        <v>786686</v>
      </c>
      <c r="F646" s="17">
        <v>78940</v>
      </c>
      <c r="G646" s="17">
        <v>76</v>
      </c>
      <c r="H646" s="17">
        <v>39053</v>
      </c>
      <c r="I646" s="17">
        <v>4532</v>
      </c>
      <c r="J646" s="17">
        <v>16097</v>
      </c>
      <c r="K646" s="6">
        <v>2024</v>
      </c>
      <c r="L646" s="12">
        <f t="shared" si="10"/>
        <v>226169.75</v>
      </c>
    </row>
    <row r="647" spans="1:12" x14ac:dyDescent="0.3">
      <c r="A647" s="31">
        <v>64</v>
      </c>
      <c r="B647" s="33" t="s">
        <v>116</v>
      </c>
      <c r="C647" s="33" t="s">
        <v>47</v>
      </c>
      <c r="D647" s="17">
        <v>587700</v>
      </c>
      <c r="E647" s="7">
        <v>684293</v>
      </c>
      <c r="F647" s="17">
        <v>81541</v>
      </c>
      <c r="G647" s="17">
        <v>73</v>
      </c>
      <c r="H647" s="17">
        <v>71889</v>
      </c>
      <c r="I647" s="17">
        <v>61470</v>
      </c>
      <c r="J647" s="17">
        <f>AVERAGE(J70,J217,J368,J517)</f>
        <v>74573.75</v>
      </c>
      <c r="K647" s="6">
        <v>2024</v>
      </c>
      <c r="L647" s="12">
        <f t="shared" si="10"/>
        <v>209430.75</v>
      </c>
    </row>
    <row r="648" spans="1:12" x14ac:dyDescent="0.3">
      <c r="A648" s="31">
        <v>65</v>
      </c>
      <c r="B648" s="33" t="s">
        <v>81</v>
      </c>
      <c r="C648" s="33" t="s">
        <v>24</v>
      </c>
      <c r="D648" s="17">
        <v>586630</v>
      </c>
      <c r="E648" s="7">
        <v>712751</v>
      </c>
      <c r="F648" s="17">
        <v>68047</v>
      </c>
      <c r="G648" s="17">
        <v>72</v>
      </c>
      <c r="H648" s="17">
        <v>68538</v>
      </c>
      <c r="I648" s="17">
        <v>27718</v>
      </c>
      <c r="J648" s="17">
        <v>35397</v>
      </c>
      <c r="K648" s="6">
        <v>2024</v>
      </c>
      <c r="L648" s="12">
        <f t="shared" si="10"/>
        <v>212334</v>
      </c>
    </row>
    <row r="649" spans="1:12" x14ac:dyDescent="0.3">
      <c r="A649" s="31">
        <v>66</v>
      </c>
      <c r="B649" s="33" t="s">
        <v>83</v>
      </c>
      <c r="C649" s="33" t="s">
        <v>26</v>
      </c>
      <c r="D649" s="17">
        <v>584170</v>
      </c>
      <c r="E649" s="7">
        <v>598077</v>
      </c>
      <c r="F649" s="17">
        <v>81892</v>
      </c>
      <c r="G649" s="17">
        <v>72</v>
      </c>
      <c r="H649" s="17">
        <v>74933</v>
      </c>
      <c r="I649" s="17">
        <v>22265</v>
      </c>
      <c r="J649" s="17">
        <v>4880</v>
      </c>
      <c r="K649" s="6">
        <v>2024</v>
      </c>
      <c r="L649" s="12">
        <f t="shared" si="10"/>
        <v>188725.5</v>
      </c>
    </row>
    <row r="650" spans="1:12" x14ac:dyDescent="0.3">
      <c r="A650" s="31">
        <v>67</v>
      </c>
      <c r="B650" s="33" t="s">
        <v>76</v>
      </c>
      <c r="C650" s="33" t="s">
        <v>26</v>
      </c>
      <c r="D650" s="17">
        <v>584090</v>
      </c>
      <c r="E650" s="7">
        <v>640313</v>
      </c>
      <c r="F650" s="17">
        <v>72994</v>
      </c>
      <c r="G650" s="17">
        <v>75</v>
      </c>
      <c r="H650" s="17">
        <v>71218</v>
      </c>
      <c r="I650" s="17">
        <v>19505</v>
      </c>
      <c r="J650" s="17">
        <v>4996</v>
      </c>
      <c r="K650" s="6">
        <v>2024</v>
      </c>
      <c r="L650" s="12">
        <f t="shared" si="10"/>
        <v>196131.25</v>
      </c>
    </row>
    <row r="651" spans="1:12" x14ac:dyDescent="0.3">
      <c r="A651" s="31">
        <v>68</v>
      </c>
      <c r="B651" s="33" t="s">
        <v>118</v>
      </c>
      <c r="C651" s="33" t="s">
        <v>26</v>
      </c>
      <c r="D651" s="17">
        <v>582280</v>
      </c>
      <c r="E651" s="7">
        <v>708565</v>
      </c>
      <c r="F651" s="17">
        <v>78657</v>
      </c>
      <c r="G651" s="17">
        <v>71</v>
      </c>
      <c r="H651" s="17">
        <v>84544</v>
      </c>
      <c r="I651" s="17">
        <v>21543</v>
      </c>
      <c r="J651" s="17">
        <v>34005</v>
      </c>
      <c r="K651" s="6">
        <v>2024</v>
      </c>
      <c r="L651" s="12">
        <f t="shared" si="10"/>
        <v>217941.5</v>
      </c>
    </row>
    <row r="652" spans="1:12" x14ac:dyDescent="0.3">
      <c r="A652" s="31">
        <v>69</v>
      </c>
      <c r="B652" s="33" t="s">
        <v>89</v>
      </c>
      <c r="C652" s="33" t="s">
        <v>90</v>
      </c>
      <c r="D652" s="17">
        <v>581640</v>
      </c>
      <c r="E652" s="7">
        <v>733663</v>
      </c>
      <c r="F652" s="17">
        <v>83994</v>
      </c>
      <c r="G652" s="17">
        <v>70</v>
      </c>
      <c r="H652" s="17">
        <v>74224</v>
      </c>
      <c r="I652" s="17">
        <v>30632</v>
      </c>
      <c r="J652" s="17">
        <v>20477</v>
      </c>
      <c r="K652" s="6">
        <v>2024</v>
      </c>
      <c r="L652" s="12">
        <f t="shared" si="10"/>
        <v>222970.25</v>
      </c>
    </row>
    <row r="653" spans="1:12" x14ac:dyDescent="0.3">
      <c r="A653" s="31">
        <v>70</v>
      </c>
      <c r="B653" s="33" t="s">
        <v>70</v>
      </c>
      <c r="C653" s="33" t="s">
        <v>47</v>
      </c>
      <c r="D653" s="17">
        <v>581590</v>
      </c>
      <c r="E653" s="7">
        <v>647210</v>
      </c>
      <c r="F653" s="17">
        <v>79008</v>
      </c>
      <c r="G653" s="17">
        <v>72</v>
      </c>
      <c r="H653" s="17">
        <v>80485</v>
      </c>
      <c r="I653" s="17">
        <v>19303</v>
      </c>
      <c r="J653" s="17">
        <v>7735</v>
      </c>
      <c r="K653" s="6">
        <v>2024</v>
      </c>
      <c r="L653" s="12">
        <f t="shared" si="10"/>
        <v>201675.75</v>
      </c>
    </row>
    <row r="654" spans="1:12" x14ac:dyDescent="0.3">
      <c r="A654" s="31">
        <v>71</v>
      </c>
      <c r="B654" s="33" t="s">
        <v>82</v>
      </c>
      <c r="C654" s="33" t="s">
        <v>62</v>
      </c>
      <c r="D654" s="17">
        <v>578530</v>
      </c>
      <c r="E654" s="7">
        <v>767194</v>
      </c>
      <c r="F654" s="17">
        <v>83586</v>
      </c>
      <c r="G654" s="17">
        <v>71</v>
      </c>
      <c r="H654" s="17">
        <v>63875</v>
      </c>
      <c r="I654" s="17">
        <v>34384</v>
      </c>
      <c r="J654" s="17">
        <v>20957</v>
      </c>
      <c r="K654" s="6">
        <v>2024</v>
      </c>
      <c r="L654" s="12">
        <f t="shared" si="10"/>
        <v>228663.75</v>
      </c>
    </row>
    <row r="655" spans="1:12" x14ac:dyDescent="0.3">
      <c r="A655" s="31">
        <v>72</v>
      </c>
      <c r="B655" s="33" t="s">
        <v>69</v>
      </c>
      <c r="C655" s="33" t="s">
        <v>26</v>
      </c>
      <c r="D655" s="17">
        <v>578430</v>
      </c>
      <c r="E655" s="7">
        <v>568578</v>
      </c>
      <c r="F655" s="17">
        <v>72960</v>
      </c>
      <c r="G655" s="17">
        <v>70</v>
      </c>
      <c r="H655" s="17">
        <v>83335</v>
      </c>
      <c r="I655" s="17">
        <v>24842</v>
      </c>
      <c r="J655" s="17">
        <v>10575</v>
      </c>
      <c r="K655" s="6">
        <v>2024</v>
      </c>
      <c r="L655" s="12">
        <f t="shared" si="10"/>
        <v>181218.25</v>
      </c>
    </row>
    <row r="656" spans="1:12" x14ac:dyDescent="0.3">
      <c r="A656" s="31">
        <v>73</v>
      </c>
      <c r="B656" s="33" t="s">
        <v>66</v>
      </c>
      <c r="C656" s="33" t="s">
        <v>26</v>
      </c>
      <c r="D656" s="17">
        <v>572450</v>
      </c>
      <c r="E656" s="7">
        <v>614556</v>
      </c>
      <c r="F656" s="17">
        <v>71180</v>
      </c>
      <c r="G656" s="17">
        <v>74</v>
      </c>
      <c r="H656" s="17">
        <v>70203</v>
      </c>
      <c r="I656" s="17">
        <v>21807</v>
      </c>
      <c r="J656" s="17">
        <v>13620</v>
      </c>
      <c r="K656" s="6">
        <v>2024</v>
      </c>
      <c r="L656" s="12">
        <f t="shared" si="10"/>
        <v>188984.75</v>
      </c>
    </row>
    <row r="657" spans="1:12" x14ac:dyDescent="0.3">
      <c r="A657" s="31">
        <v>74</v>
      </c>
      <c r="B657" s="33" t="s">
        <v>96</v>
      </c>
      <c r="C657" s="33" t="s">
        <v>62</v>
      </c>
      <c r="D657" s="17">
        <v>571350</v>
      </c>
      <c r="E657" s="7">
        <v>492532</v>
      </c>
      <c r="F657" s="17">
        <v>91364</v>
      </c>
      <c r="G657" s="17">
        <v>73</v>
      </c>
      <c r="H657" s="17">
        <v>96634</v>
      </c>
      <c r="I657" s="17">
        <v>56189</v>
      </c>
      <c r="J657" s="17">
        <v>5191</v>
      </c>
      <c r="K657" s="6">
        <v>2024</v>
      </c>
      <c r="L657" s="12">
        <f t="shared" si="10"/>
        <v>170132.5</v>
      </c>
    </row>
    <row r="658" spans="1:12" x14ac:dyDescent="0.3">
      <c r="A658" s="31">
        <v>75</v>
      </c>
      <c r="B658" s="33" t="s">
        <v>102</v>
      </c>
      <c r="C658" s="33" t="s">
        <v>47</v>
      </c>
      <c r="D658" s="17">
        <v>570700</v>
      </c>
      <c r="E658" s="7">
        <v>733711</v>
      </c>
      <c r="F658" s="17">
        <v>81532</v>
      </c>
      <c r="G658" s="17">
        <v>73</v>
      </c>
      <c r="H658" s="17">
        <v>73173</v>
      </c>
      <c r="I658" s="17">
        <v>27553</v>
      </c>
      <c r="J658" s="17">
        <v>22978</v>
      </c>
      <c r="K658" s="6">
        <v>2024</v>
      </c>
      <c r="L658" s="12">
        <f t="shared" si="10"/>
        <v>222104</v>
      </c>
    </row>
    <row r="659" spans="1:12" x14ac:dyDescent="0.3">
      <c r="A659" s="31">
        <v>76</v>
      </c>
      <c r="B659" s="33" t="s">
        <v>120</v>
      </c>
      <c r="C659" s="33" t="s">
        <v>55</v>
      </c>
      <c r="D659" s="17">
        <v>569620</v>
      </c>
      <c r="E659" s="7">
        <v>631951</v>
      </c>
      <c r="F659" s="17">
        <v>93450</v>
      </c>
      <c r="G659" s="17">
        <v>67</v>
      </c>
      <c r="H659" s="17">
        <v>58008</v>
      </c>
      <c r="I659" s="17">
        <v>59072</v>
      </c>
      <c r="J659" s="17">
        <v>9610</v>
      </c>
      <c r="K659" s="6">
        <v>2024</v>
      </c>
      <c r="L659" s="12">
        <f t="shared" si="10"/>
        <v>195852.25</v>
      </c>
    </row>
    <row r="660" spans="1:12" x14ac:dyDescent="0.3">
      <c r="A660" s="31">
        <v>77</v>
      </c>
      <c r="B660" s="33" t="s">
        <v>49</v>
      </c>
      <c r="C660" s="33" t="s">
        <v>26</v>
      </c>
      <c r="D660" s="17">
        <v>569510</v>
      </c>
      <c r="E660" s="7">
        <v>671288</v>
      </c>
      <c r="F660" s="17">
        <v>76751</v>
      </c>
      <c r="G660" s="17">
        <v>75</v>
      </c>
      <c r="H660" s="17">
        <v>74585</v>
      </c>
      <c r="I660" s="17">
        <v>17864</v>
      </c>
      <c r="J660" s="17">
        <v>10191</v>
      </c>
      <c r="K660" s="6">
        <v>2024</v>
      </c>
      <c r="L660" s="12">
        <f t="shared" si="10"/>
        <v>205656</v>
      </c>
    </row>
    <row r="661" spans="1:12" x14ac:dyDescent="0.3">
      <c r="A661" s="31">
        <v>78</v>
      </c>
      <c r="B661" s="33" t="s">
        <v>37</v>
      </c>
      <c r="C661" s="33" t="s">
        <v>26</v>
      </c>
      <c r="D661" s="17">
        <v>560670</v>
      </c>
      <c r="E661" s="7">
        <v>0</v>
      </c>
      <c r="F661" s="17">
        <v>81740</v>
      </c>
      <c r="G661" s="17">
        <v>70</v>
      </c>
      <c r="H661" s="17">
        <v>59990</v>
      </c>
      <c r="I661" s="17">
        <v>47969</v>
      </c>
      <c r="J661" s="17">
        <v>14982</v>
      </c>
      <c r="K661" s="6">
        <v>2024</v>
      </c>
      <c r="L661" s="12">
        <f t="shared" si="10"/>
        <v>35432.5</v>
      </c>
    </row>
    <row r="662" spans="1:12" x14ac:dyDescent="0.3">
      <c r="A662" s="31">
        <v>79</v>
      </c>
      <c r="B662" s="33" t="s">
        <v>93</v>
      </c>
      <c r="C662" s="33" t="s">
        <v>39</v>
      </c>
      <c r="D662" s="17">
        <v>556830</v>
      </c>
      <c r="E662" s="7">
        <v>636058</v>
      </c>
      <c r="F662" s="17">
        <v>73260</v>
      </c>
      <c r="G662" s="17">
        <v>69</v>
      </c>
      <c r="H662" s="17">
        <v>90283</v>
      </c>
      <c r="I662" s="17">
        <v>99602</v>
      </c>
      <c r="J662" s="17">
        <v>9513</v>
      </c>
      <c r="K662" s="6">
        <v>2024</v>
      </c>
      <c r="L662" s="12">
        <f t="shared" si="10"/>
        <v>199900.25</v>
      </c>
    </row>
    <row r="663" spans="1:12" x14ac:dyDescent="0.3">
      <c r="A663" s="31">
        <v>80</v>
      </c>
      <c r="B663" s="33" t="s">
        <v>154</v>
      </c>
      <c r="C663" s="33" t="s">
        <v>47</v>
      </c>
      <c r="D663" s="17">
        <v>546270</v>
      </c>
      <c r="E663" s="7">
        <v>761209</v>
      </c>
      <c r="F663" s="17">
        <v>90860</v>
      </c>
      <c r="G663" s="17">
        <v>72</v>
      </c>
      <c r="H663" s="17">
        <v>71861</v>
      </c>
      <c r="I663" s="17">
        <v>20780</v>
      </c>
      <c r="J663" s="17">
        <v>1069</v>
      </c>
      <c r="K663" s="6">
        <v>2024</v>
      </c>
      <c r="L663" s="12">
        <f t="shared" si="10"/>
        <v>230982.5</v>
      </c>
    </row>
    <row r="664" spans="1:12" x14ac:dyDescent="0.3">
      <c r="A664" s="31">
        <v>81</v>
      </c>
      <c r="B664" s="33" t="s">
        <v>147</v>
      </c>
      <c r="C664" s="33" t="s">
        <v>62</v>
      </c>
      <c r="D664" s="17">
        <v>545490</v>
      </c>
      <c r="E664" s="7">
        <v>674410</v>
      </c>
      <c r="F664" s="17">
        <v>71415</v>
      </c>
      <c r="G664" s="17">
        <v>73</v>
      </c>
      <c r="H664" s="17">
        <v>75317</v>
      </c>
      <c r="I664" s="17">
        <v>12831</v>
      </c>
      <c r="J664" s="17">
        <v>30090</v>
      </c>
      <c r="K664" s="6">
        <v>2024</v>
      </c>
      <c r="L664" s="12">
        <f t="shared" si="10"/>
        <v>205285.5</v>
      </c>
    </row>
    <row r="665" spans="1:12" x14ac:dyDescent="0.3">
      <c r="A665" s="31">
        <v>82</v>
      </c>
      <c r="B665" s="33" t="s">
        <v>133</v>
      </c>
      <c r="C665" s="33" t="s">
        <v>90</v>
      </c>
      <c r="D665" s="17">
        <v>542200</v>
      </c>
      <c r="E665" s="7">
        <v>648958</v>
      </c>
      <c r="F665" s="17">
        <v>84704</v>
      </c>
      <c r="G665" s="17">
        <v>65</v>
      </c>
      <c r="H665" s="17">
        <v>62153</v>
      </c>
      <c r="I665" s="17">
        <v>19570</v>
      </c>
      <c r="J665" s="17">
        <v>5909</v>
      </c>
      <c r="K665" s="6">
        <v>2024</v>
      </c>
      <c r="L665" s="12">
        <f t="shared" si="10"/>
        <v>198953.75</v>
      </c>
    </row>
    <row r="666" spans="1:12" x14ac:dyDescent="0.3">
      <c r="A666" s="31">
        <v>83</v>
      </c>
      <c r="B666" s="33" t="s">
        <v>191</v>
      </c>
      <c r="C666" s="33" t="s">
        <v>47</v>
      </c>
      <c r="D666" s="17">
        <v>536910</v>
      </c>
      <c r="E666" s="7">
        <v>689230</v>
      </c>
      <c r="F666" s="17">
        <v>78971</v>
      </c>
      <c r="G666" s="17">
        <v>72</v>
      </c>
      <c r="H666" s="17">
        <v>67150</v>
      </c>
      <c r="I666" s="17">
        <v>48347</v>
      </c>
      <c r="J666" s="17">
        <v>2544</v>
      </c>
      <c r="K666" s="6">
        <v>2024</v>
      </c>
      <c r="L666" s="12">
        <f t="shared" si="10"/>
        <v>208837.75</v>
      </c>
    </row>
    <row r="667" spans="1:12" x14ac:dyDescent="0.3">
      <c r="A667" s="31">
        <v>84</v>
      </c>
      <c r="B667" s="33" t="s">
        <v>86</v>
      </c>
      <c r="C667" s="33" t="s">
        <v>24</v>
      </c>
      <c r="D667" s="17">
        <v>536350</v>
      </c>
      <c r="E667" s="7">
        <v>618327</v>
      </c>
      <c r="F667" s="17">
        <v>73652</v>
      </c>
      <c r="G667" s="17">
        <v>72</v>
      </c>
      <c r="H667" s="17">
        <v>28611</v>
      </c>
      <c r="I667" s="17">
        <v>22771</v>
      </c>
      <c r="J667" s="17">
        <v>34775</v>
      </c>
      <c r="K667" s="6">
        <v>2024</v>
      </c>
      <c r="L667" s="12">
        <f t="shared" si="10"/>
        <v>180147.5</v>
      </c>
    </row>
    <row r="668" spans="1:12" x14ac:dyDescent="0.3">
      <c r="A668" s="31">
        <v>85</v>
      </c>
      <c r="B668" s="33" t="s">
        <v>185</v>
      </c>
      <c r="C668" s="33" t="s">
        <v>55</v>
      </c>
      <c r="D668" s="17">
        <v>531640</v>
      </c>
      <c r="E668" s="7">
        <v>891705</v>
      </c>
      <c r="F668" s="17">
        <v>73273</v>
      </c>
      <c r="G668" s="17">
        <v>81</v>
      </c>
      <c r="H668" s="17">
        <v>56144</v>
      </c>
      <c r="I668" s="17">
        <v>36619</v>
      </c>
      <c r="J668" s="17">
        <v>69833</v>
      </c>
      <c r="K668" s="6">
        <v>2024</v>
      </c>
      <c r="L668" s="12">
        <f t="shared" si="10"/>
        <v>255280.5</v>
      </c>
    </row>
    <row r="669" spans="1:12" x14ac:dyDescent="0.3">
      <c r="A669" s="31">
        <v>86</v>
      </c>
      <c r="B669" s="33" t="s">
        <v>115</v>
      </c>
      <c r="C669" s="33" t="s">
        <v>47</v>
      </c>
      <c r="D669" s="17">
        <v>530420</v>
      </c>
      <c r="E669" s="7">
        <v>671748</v>
      </c>
      <c r="F669" s="17">
        <v>57133</v>
      </c>
      <c r="G669" s="17">
        <v>74</v>
      </c>
      <c r="H669" s="17">
        <v>79892</v>
      </c>
      <c r="I669" s="17">
        <v>34403</v>
      </c>
      <c r="J669" s="17">
        <v>8517</v>
      </c>
      <c r="K669" s="6">
        <v>2024</v>
      </c>
      <c r="L669" s="12">
        <f t="shared" si="10"/>
        <v>202193.25</v>
      </c>
    </row>
    <row r="670" spans="1:12" x14ac:dyDescent="0.3">
      <c r="A670" s="31">
        <v>87</v>
      </c>
      <c r="B670" s="33" t="s">
        <v>159</v>
      </c>
      <c r="C670" s="33" t="s">
        <v>90</v>
      </c>
      <c r="D670" s="17">
        <v>522150</v>
      </c>
      <c r="E670" s="7">
        <v>416881</v>
      </c>
      <c r="F670" s="17">
        <v>38471</v>
      </c>
      <c r="G670" s="17">
        <v>64</v>
      </c>
      <c r="H670" s="17">
        <v>60549</v>
      </c>
      <c r="I670" s="17">
        <v>30890</v>
      </c>
      <c r="J670" s="17">
        <v>23939</v>
      </c>
      <c r="K670" s="6">
        <v>2024</v>
      </c>
      <c r="L670" s="12">
        <f t="shared" si="10"/>
        <v>128975.25</v>
      </c>
    </row>
    <row r="671" spans="1:12" x14ac:dyDescent="0.3">
      <c r="A671" s="31">
        <v>88</v>
      </c>
      <c r="B671" s="33" t="s">
        <v>114</v>
      </c>
      <c r="C671" s="33" t="s">
        <v>90</v>
      </c>
      <c r="D671" s="17">
        <v>521640</v>
      </c>
      <c r="E671" s="7">
        <v>261510</v>
      </c>
      <c r="F671" s="17">
        <v>54628</v>
      </c>
      <c r="G671" s="17">
        <v>60</v>
      </c>
      <c r="H671" s="17">
        <v>84337</v>
      </c>
      <c r="I671" s="17">
        <v>39334</v>
      </c>
      <c r="J671" s="17">
        <v>34110</v>
      </c>
      <c r="K671" s="6">
        <v>2024</v>
      </c>
      <c r="L671" s="12">
        <f t="shared" si="10"/>
        <v>100118.75</v>
      </c>
    </row>
    <row r="672" spans="1:12" x14ac:dyDescent="0.3">
      <c r="A672" s="31">
        <v>89</v>
      </c>
      <c r="B672" s="33" t="s">
        <v>150</v>
      </c>
      <c r="C672" s="33" t="s">
        <v>62</v>
      </c>
      <c r="D672" s="17">
        <v>518470</v>
      </c>
      <c r="E672" s="7">
        <v>685312</v>
      </c>
      <c r="F672" s="17">
        <v>61243</v>
      </c>
      <c r="G672" s="17">
        <v>71</v>
      </c>
      <c r="H672" s="17">
        <v>78743</v>
      </c>
      <c r="I672" s="17">
        <v>0</v>
      </c>
      <c r="J672" s="17">
        <v>30305</v>
      </c>
      <c r="K672" s="6">
        <v>2024</v>
      </c>
      <c r="L672" s="12">
        <f t="shared" si="10"/>
        <v>206324.5</v>
      </c>
    </row>
    <row r="673" spans="1:12" x14ac:dyDescent="0.3">
      <c r="A673" s="31">
        <v>90</v>
      </c>
      <c r="B673" s="33" t="s">
        <v>132</v>
      </c>
      <c r="C673" s="33" t="s">
        <v>24</v>
      </c>
      <c r="D673" s="17">
        <v>516600</v>
      </c>
      <c r="E673" s="7">
        <v>583364</v>
      </c>
      <c r="F673" s="17">
        <v>61610</v>
      </c>
      <c r="G673" s="17">
        <v>70</v>
      </c>
      <c r="H673" s="17">
        <v>49173</v>
      </c>
      <c r="I673" s="17">
        <v>35251</v>
      </c>
      <c r="J673" s="17">
        <v>8315</v>
      </c>
      <c r="K673" s="6">
        <v>2024</v>
      </c>
      <c r="L673" s="12">
        <f t="shared" si="10"/>
        <v>173536.75</v>
      </c>
    </row>
    <row r="674" spans="1:12" x14ac:dyDescent="0.3">
      <c r="A674" s="31">
        <v>91</v>
      </c>
      <c r="B674" s="33" t="s">
        <v>141</v>
      </c>
      <c r="C674" s="33" t="s">
        <v>99</v>
      </c>
      <c r="D674" s="17">
        <v>515840</v>
      </c>
      <c r="E674" s="7">
        <v>450995</v>
      </c>
      <c r="F674" s="17">
        <v>61254</v>
      </c>
      <c r="G674" s="17">
        <v>69</v>
      </c>
      <c r="H674" s="17">
        <v>75627</v>
      </c>
      <c r="I674" s="17">
        <v>52233</v>
      </c>
      <c r="J674" s="17">
        <v>19981</v>
      </c>
      <c r="K674" s="6">
        <v>2024</v>
      </c>
      <c r="L674" s="12">
        <f t="shared" si="10"/>
        <v>146969</v>
      </c>
    </row>
    <row r="675" spans="1:12" x14ac:dyDescent="0.3">
      <c r="A675" s="31">
        <v>92</v>
      </c>
      <c r="B675" s="33" t="s">
        <v>119</v>
      </c>
      <c r="C675" s="33" t="s">
        <v>55</v>
      </c>
      <c r="D675" s="17">
        <v>513890</v>
      </c>
      <c r="E675" s="7">
        <v>564568</v>
      </c>
      <c r="F675" s="17">
        <v>52353</v>
      </c>
      <c r="G675" s="17">
        <v>68</v>
      </c>
      <c r="H675" s="17">
        <v>92255</v>
      </c>
      <c r="I675" s="17">
        <v>42301</v>
      </c>
      <c r="J675" s="17">
        <v>28958</v>
      </c>
      <c r="K675" s="6">
        <v>2024</v>
      </c>
      <c r="L675" s="12">
        <f t="shared" si="10"/>
        <v>177294</v>
      </c>
    </row>
    <row r="676" spans="1:12" x14ac:dyDescent="0.3">
      <c r="A676" s="31">
        <v>93</v>
      </c>
      <c r="B676" s="33" t="s">
        <v>163</v>
      </c>
      <c r="C676" s="33" t="s">
        <v>90</v>
      </c>
      <c r="D676" s="17">
        <v>510630</v>
      </c>
      <c r="E676" s="7">
        <v>655653</v>
      </c>
      <c r="F676" s="17">
        <v>64189</v>
      </c>
      <c r="G676" s="17">
        <v>66</v>
      </c>
      <c r="H676" s="17">
        <v>59747</v>
      </c>
      <c r="I676" s="17">
        <v>11297</v>
      </c>
      <c r="J676" s="17">
        <v>17365</v>
      </c>
      <c r="K676" s="6">
        <v>2024</v>
      </c>
      <c r="L676" s="12">
        <f t="shared" si="10"/>
        <v>194897.25</v>
      </c>
    </row>
    <row r="677" spans="1:12" x14ac:dyDescent="0.3">
      <c r="A677" s="31">
        <v>94</v>
      </c>
      <c r="B677" s="33" t="s">
        <v>171</v>
      </c>
      <c r="C677" s="33" t="s">
        <v>90</v>
      </c>
      <c r="D677" s="17">
        <v>508010</v>
      </c>
      <c r="E677" s="7">
        <v>504612</v>
      </c>
      <c r="F677" s="17">
        <v>35733</v>
      </c>
      <c r="G677" s="17">
        <v>64</v>
      </c>
      <c r="H677" s="17">
        <v>63354</v>
      </c>
      <c r="I677" s="17">
        <v>30062</v>
      </c>
      <c r="J677" s="17">
        <v>28528</v>
      </c>
      <c r="K677" s="6">
        <v>2024</v>
      </c>
      <c r="L677" s="12">
        <f t="shared" si="10"/>
        <v>150924.75</v>
      </c>
    </row>
    <row r="678" spans="1:12" x14ac:dyDescent="0.3">
      <c r="A678" s="31">
        <v>95</v>
      </c>
      <c r="B678" s="33" t="s">
        <v>170</v>
      </c>
      <c r="C678" s="33" t="s">
        <v>90</v>
      </c>
      <c r="D678" s="17">
        <v>502330</v>
      </c>
      <c r="E678" s="7">
        <v>388022</v>
      </c>
      <c r="F678" s="17">
        <v>38454</v>
      </c>
      <c r="G678" s="17">
        <v>62</v>
      </c>
      <c r="H678" s="17">
        <v>60381</v>
      </c>
      <c r="I678" s="17">
        <v>52419</v>
      </c>
      <c r="J678" s="17">
        <v>18683</v>
      </c>
      <c r="K678" s="6">
        <v>2024</v>
      </c>
      <c r="L678" s="12">
        <f t="shared" si="10"/>
        <v>121714.25</v>
      </c>
    </row>
    <row r="679" spans="1:12" x14ac:dyDescent="0.3">
      <c r="A679" s="31">
        <v>96</v>
      </c>
      <c r="B679" s="33" t="s">
        <v>196</v>
      </c>
      <c r="C679" s="33" t="s">
        <v>24</v>
      </c>
      <c r="D679" s="17">
        <v>497530</v>
      </c>
      <c r="E679" s="7">
        <v>794937</v>
      </c>
      <c r="F679" s="17">
        <v>72687</v>
      </c>
      <c r="G679" s="17">
        <v>74</v>
      </c>
      <c r="H679" s="17">
        <v>23407</v>
      </c>
      <c r="I679" s="17">
        <v>16981</v>
      </c>
      <c r="J679" s="17">
        <v>19955</v>
      </c>
      <c r="K679" s="6">
        <v>2024</v>
      </c>
      <c r="L679" s="12">
        <f t="shared" si="10"/>
        <v>222757.75</v>
      </c>
    </row>
    <row r="680" spans="1:12" x14ac:dyDescent="0.3">
      <c r="A680" s="31">
        <v>97</v>
      </c>
      <c r="B680" s="33" t="s">
        <v>162</v>
      </c>
      <c r="C680" s="33" t="s">
        <v>90</v>
      </c>
      <c r="D680" s="17">
        <v>496860</v>
      </c>
      <c r="E680" s="7">
        <v>433240</v>
      </c>
      <c r="F680" s="17">
        <v>46438</v>
      </c>
      <c r="G680" s="17">
        <v>67</v>
      </c>
      <c r="H680" s="17">
        <v>70280</v>
      </c>
      <c r="I680" s="17">
        <v>37926</v>
      </c>
      <c r="J680" s="17">
        <v>11943</v>
      </c>
      <c r="K680" s="6">
        <v>2024</v>
      </c>
      <c r="L680" s="12">
        <f t="shared" si="10"/>
        <v>137489.5</v>
      </c>
    </row>
    <row r="681" spans="1:12" x14ac:dyDescent="0.3">
      <c r="A681" s="31">
        <v>98</v>
      </c>
      <c r="B681" s="33" t="s">
        <v>130</v>
      </c>
      <c r="C681" s="33" t="s">
        <v>24</v>
      </c>
      <c r="D681" s="17">
        <v>492280</v>
      </c>
      <c r="E681" s="7">
        <v>670486</v>
      </c>
      <c r="F681" s="17">
        <v>70286</v>
      </c>
      <c r="G681" s="17">
        <v>72</v>
      </c>
      <c r="H681" s="17">
        <v>42336</v>
      </c>
      <c r="I681" s="17">
        <v>58641</v>
      </c>
      <c r="J681" s="17">
        <v>21464</v>
      </c>
      <c r="K681" s="6">
        <v>2024</v>
      </c>
      <c r="L681" s="12">
        <f t="shared" si="10"/>
        <v>195777</v>
      </c>
    </row>
    <row r="682" spans="1:12" x14ac:dyDescent="0.3">
      <c r="A682" s="31">
        <v>99</v>
      </c>
      <c r="B682" s="33" t="s">
        <v>100</v>
      </c>
      <c r="C682" s="33" t="s">
        <v>62</v>
      </c>
      <c r="D682" s="17">
        <v>489340</v>
      </c>
      <c r="E682" s="7">
        <v>669424</v>
      </c>
      <c r="F682" s="17">
        <v>54171</v>
      </c>
      <c r="G682" s="17">
        <v>70</v>
      </c>
      <c r="H682" s="17">
        <v>77392</v>
      </c>
      <c r="I682" s="17">
        <v>27835</v>
      </c>
      <c r="J682" s="17">
        <v>34637</v>
      </c>
      <c r="K682" s="6">
        <v>2024</v>
      </c>
      <c r="L682" s="12">
        <f t="shared" si="10"/>
        <v>200246.75</v>
      </c>
    </row>
    <row r="683" spans="1:12" x14ac:dyDescent="0.3">
      <c r="A683" s="31">
        <v>100</v>
      </c>
      <c r="B683" s="33" t="s">
        <v>97</v>
      </c>
      <c r="C683" s="33" t="s">
        <v>90</v>
      </c>
      <c r="D683" s="17">
        <v>488080</v>
      </c>
      <c r="E683" s="7">
        <v>486691</v>
      </c>
      <c r="F683" s="17">
        <v>66531</v>
      </c>
      <c r="G683" s="17">
        <v>63</v>
      </c>
      <c r="H683" s="17">
        <v>65538</v>
      </c>
      <c r="I683" s="17">
        <v>50252</v>
      </c>
      <c r="J683" s="17">
        <v>3300</v>
      </c>
      <c r="K683" s="6">
        <v>2024</v>
      </c>
      <c r="L683" s="12">
        <f t="shared" si="10"/>
        <v>154690</v>
      </c>
    </row>
    <row r="684" spans="1:12" x14ac:dyDescent="0.3">
      <c r="A684" s="31">
        <v>101</v>
      </c>
      <c r="B684" s="33" t="s">
        <v>153</v>
      </c>
      <c r="C684" s="33" t="s">
        <v>90</v>
      </c>
      <c r="D684" s="17">
        <v>487440</v>
      </c>
      <c r="E684" s="7">
        <v>440662</v>
      </c>
      <c r="F684" s="17">
        <v>52953</v>
      </c>
      <c r="G684" s="17">
        <v>64</v>
      </c>
      <c r="H684" s="17">
        <v>60374</v>
      </c>
      <c r="I684" s="17">
        <v>31514</v>
      </c>
      <c r="J684" s="17">
        <v>10487</v>
      </c>
      <c r="K684" s="6">
        <v>2024</v>
      </c>
      <c r="L684" s="12">
        <f t="shared" si="10"/>
        <v>138497.25</v>
      </c>
    </row>
    <row r="685" spans="1:12" x14ac:dyDescent="0.3">
      <c r="A685" s="31">
        <v>102</v>
      </c>
      <c r="B685" s="33" t="s">
        <v>131</v>
      </c>
      <c r="C685" s="33" t="s">
        <v>62</v>
      </c>
      <c r="D685" s="17">
        <v>487300</v>
      </c>
      <c r="E685" s="7">
        <v>630641</v>
      </c>
      <c r="F685" s="17">
        <v>81364</v>
      </c>
      <c r="G685" s="17">
        <v>71</v>
      </c>
      <c r="H685" s="17">
        <v>73048</v>
      </c>
      <c r="I685" s="17">
        <v>71213</v>
      </c>
      <c r="J685" s="17">
        <v>4414</v>
      </c>
      <c r="K685" s="6">
        <v>2024</v>
      </c>
      <c r="L685" s="12">
        <f t="shared" si="10"/>
        <v>196263.25</v>
      </c>
    </row>
    <row r="686" spans="1:12" x14ac:dyDescent="0.3">
      <c r="A686" s="31">
        <v>103</v>
      </c>
      <c r="B686" s="33" t="s">
        <v>181</v>
      </c>
      <c r="C686" s="33" t="s">
        <v>90</v>
      </c>
      <c r="D686" s="17">
        <v>483170</v>
      </c>
      <c r="E686" s="7">
        <v>591607</v>
      </c>
      <c r="F686" s="17">
        <v>74978</v>
      </c>
      <c r="G686" s="17">
        <v>64</v>
      </c>
      <c r="H686" s="17">
        <v>54410</v>
      </c>
      <c r="I686" s="17">
        <v>17140</v>
      </c>
      <c r="J686" s="17">
        <v>10691</v>
      </c>
      <c r="K686" s="6">
        <v>2024</v>
      </c>
      <c r="L686" s="12">
        <f t="shared" si="10"/>
        <v>180248.75</v>
      </c>
    </row>
    <row r="687" spans="1:12" x14ac:dyDescent="0.3">
      <c r="A687" s="31">
        <v>104</v>
      </c>
      <c r="B687" s="33" t="s">
        <v>112</v>
      </c>
      <c r="C687" s="33" t="s">
        <v>24</v>
      </c>
      <c r="D687" s="17">
        <v>479470</v>
      </c>
      <c r="E687" s="7">
        <v>566892</v>
      </c>
      <c r="F687" s="17">
        <v>29140</v>
      </c>
      <c r="G687" s="17">
        <v>70</v>
      </c>
      <c r="H687" s="17">
        <v>73101</v>
      </c>
      <c r="I687" s="17">
        <v>10503</v>
      </c>
      <c r="J687" s="17">
        <v>14227</v>
      </c>
      <c r="K687" s="6">
        <v>2024</v>
      </c>
      <c r="L687" s="12">
        <f t="shared" si="10"/>
        <v>167283.25</v>
      </c>
    </row>
    <row r="688" spans="1:12" x14ac:dyDescent="0.3">
      <c r="A688" s="31">
        <v>105</v>
      </c>
      <c r="B688" s="33" t="s">
        <v>101</v>
      </c>
      <c r="C688" s="33" t="s">
        <v>99</v>
      </c>
      <c r="D688" s="17">
        <v>465670</v>
      </c>
      <c r="E688" s="7">
        <v>499198</v>
      </c>
      <c r="F688" s="17">
        <v>37140</v>
      </c>
      <c r="G688" s="17">
        <v>65</v>
      </c>
      <c r="H688" s="17">
        <v>62774</v>
      </c>
      <c r="I688" s="17">
        <v>36035</v>
      </c>
      <c r="J688" s="17">
        <v>12861</v>
      </c>
      <c r="K688" s="6">
        <v>2024</v>
      </c>
      <c r="L688" s="12">
        <f t="shared" si="10"/>
        <v>149778</v>
      </c>
    </row>
    <row r="689" spans="1:12" x14ac:dyDescent="0.3">
      <c r="A689" s="31">
        <v>106</v>
      </c>
      <c r="B689" s="33" t="s">
        <v>164</v>
      </c>
      <c r="C689" s="33" t="s">
        <v>90</v>
      </c>
      <c r="D689" s="17">
        <v>455630</v>
      </c>
      <c r="E689" s="7">
        <v>267622</v>
      </c>
      <c r="F689" s="17">
        <v>41904</v>
      </c>
      <c r="G689" s="17">
        <v>64</v>
      </c>
      <c r="H689" s="17">
        <v>71180</v>
      </c>
      <c r="I689" s="17">
        <v>36171</v>
      </c>
      <c r="J689" s="17">
        <v>25525</v>
      </c>
      <c r="K689" s="6">
        <v>2024</v>
      </c>
      <c r="L689" s="12">
        <f t="shared" si="10"/>
        <v>95176.5</v>
      </c>
    </row>
    <row r="690" spans="1:12" x14ac:dyDescent="0.3">
      <c r="A690" s="31">
        <v>107</v>
      </c>
      <c r="B690" s="33" t="s">
        <v>172</v>
      </c>
      <c r="C690" s="33" t="s">
        <v>90</v>
      </c>
      <c r="D690" s="17">
        <v>454800</v>
      </c>
      <c r="E690" s="7">
        <v>353115</v>
      </c>
      <c r="F690" s="17">
        <v>42378</v>
      </c>
      <c r="G690" s="17">
        <v>63</v>
      </c>
      <c r="H690" s="17">
        <v>55939</v>
      </c>
      <c r="I690" s="17">
        <v>43211</v>
      </c>
      <c r="J690" s="17">
        <v>31067</v>
      </c>
      <c r="K690" s="6">
        <v>2024</v>
      </c>
      <c r="L690" s="12">
        <f t="shared" si="10"/>
        <v>112858</v>
      </c>
    </row>
    <row r="691" spans="1:12" x14ac:dyDescent="0.3">
      <c r="A691" s="31">
        <v>108</v>
      </c>
      <c r="B691" s="33" t="s">
        <v>144</v>
      </c>
      <c r="C691" s="33" t="s">
        <v>24</v>
      </c>
      <c r="D691" s="17">
        <v>450510</v>
      </c>
      <c r="E691" s="7">
        <v>503457</v>
      </c>
      <c r="F691" s="17">
        <v>43589</v>
      </c>
      <c r="G691" s="17">
        <v>67</v>
      </c>
      <c r="H691" s="17">
        <v>39683</v>
      </c>
      <c r="I691" s="17">
        <v>33064</v>
      </c>
      <c r="J691" s="17">
        <v>34511</v>
      </c>
      <c r="K691" s="6">
        <v>2024</v>
      </c>
      <c r="L691" s="12">
        <f t="shared" si="10"/>
        <v>146682.25</v>
      </c>
    </row>
    <row r="692" spans="1:12" x14ac:dyDescent="0.3">
      <c r="A692" s="31">
        <v>109</v>
      </c>
      <c r="B692" s="33" t="s">
        <v>189</v>
      </c>
      <c r="C692" s="33" t="s">
        <v>90</v>
      </c>
      <c r="D692" s="17">
        <v>448490</v>
      </c>
      <c r="E692" s="7">
        <v>350522</v>
      </c>
      <c r="F692" s="17">
        <v>42303</v>
      </c>
      <c r="G692" s="17">
        <v>65</v>
      </c>
      <c r="H692" s="17">
        <v>53119</v>
      </c>
      <c r="I692" s="17">
        <v>80918</v>
      </c>
      <c r="J692" s="17">
        <v>8311</v>
      </c>
      <c r="K692" s="6">
        <v>2024</v>
      </c>
      <c r="L692" s="12">
        <f t="shared" si="10"/>
        <v>111486</v>
      </c>
    </row>
    <row r="693" spans="1:12" x14ac:dyDescent="0.3">
      <c r="A693" s="31">
        <v>110</v>
      </c>
      <c r="B693" s="33" t="s">
        <v>169</v>
      </c>
      <c r="C693" s="33" t="s">
        <v>90</v>
      </c>
      <c r="D693" s="17">
        <v>447130</v>
      </c>
      <c r="E693" s="7">
        <v>281849</v>
      </c>
      <c r="F693" s="17">
        <v>49824</v>
      </c>
      <c r="G693" s="17">
        <v>61</v>
      </c>
      <c r="H693" s="17">
        <v>47621</v>
      </c>
      <c r="I693" s="17">
        <v>54504</v>
      </c>
      <c r="J693" s="17">
        <v>19601</v>
      </c>
      <c r="K693" s="6">
        <v>2024</v>
      </c>
      <c r="L693" s="12">
        <f t="shared" si="10"/>
        <v>94823.5</v>
      </c>
    </row>
    <row r="694" spans="1:12" x14ac:dyDescent="0.3">
      <c r="A694" s="31">
        <v>111</v>
      </c>
      <c r="B694" s="33" t="s">
        <v>145</v>
      </c>
      <c r="C694" s="33" t="s">
        <v>90</v>
      </c>
      <c r="D694" s="17">
        <v>446960</v>
      </c>
      <c r="E694" s="7">
        <v>484339</v>
      </c>
      <c r="F694" s="17">
        <v>55387</v>
      </c>
      <c r="G694" s="17">
        <v>66</v>
      </c>
      <c r="H694" s="17">
        <v>60069</v>
      </c>
      <c r="I694" s="17">
        <v>70235</v>
      </c>
      <c r="J694" s="17">
        <v>11927</v>
      </c>
      <c r="K694" s="6">
        <v>2024</v>
      </c>
      <c r="L694" s="12">
        <f t="shared" si="10"/>
        <v>149948.75</v>
      </c>
    </row>
    <row r="695" spans="1:12" x14ac:dyDescent="0.3">
      <c r="A695" s="31">
        <v>112</v>
      </c>
      <c r="B695" s="33" t="s">
        <v>127</v>
      </c>
      <c r="C695" s="33" t="s">
        <v>24</v>
      </c>
      <c r="D695" s="17">
        <v>442180</v>
      </c>
      <c r="E695" s="7">
        <v>610340</v>
      </c>
      <c r="F695" s="17">
        <v>59058</v>
      </c>
      <c r="G695" s="17">
        <v>73</v>
      </c>
      <c r="H695" s="17">
        <v>29414</v>
      </c>
      <c r="I695" s="17">
        <v>5960</v>
      </c>
      <c r="J695" s="17">
        <v>3191</v>
      </c>
      <c r="K695" s="6">
        <v>2024</v>
      </c>
      <c r="L695" s="12">
        <f t="shared" si="10"/>
        <v>174703</v>
      </c>
    </row>
    <row r="696" spans="1:12" x14ac:dyDescent="0.3">
      <c r="A696" s="31">
        <v>113</v>
      </c>
      <c r="B696" s="33" t="s">
        <v>175</v>
      </c>
      <c r="C696" s="33" t="s">
        <v>90</v>
      </c>
      <c r="D696" s="17">
        <v>437740</v>
      </c>
      <c r="E696" s="7">
        <v>426801</v>
      </c>
      <c r="F696" s="17">
        <v>7940</v>
      </c>
      <c r="G696" s="17">
        <v>64</v>
      </c>
      <c r="H696" s="17">
        <v>65654</v>
      </c>
      <c r="I696" s="17">
        <v>27961</v>
      </c>
      <c r="J696" s="17">
        <v>43828</v>
      </c>
      <c r="K696" s="6">
        <v>2024</v>
      </c>
      <c r="L696" s="12">
        <f t="shared" si="10"/>
        <v>125098.75</v>
      </c>
    </row>
    <row r="697" spans="1:12" x14ac:dyDescent="0.3">
      <c r="A697" s="31">
        <v>114</v>
      </c>
      <c r="B697" s="33" t="s">
        <v>161</v>
      </c>
      <c r="C697" s="33" t="s">
        <v>90</v>
      </c>
      <c r="D697" s="17">
        <v>437170</v>
      </c>
      <c r="E697" s="7">
        <v>360638</v>
      </c>
      <c r="F697" s="17">
        <v>71189</v>
      </c>
      <c r="G697" s="17">
        <v>66</v>
      </c>
      <c r="H697" s="17">
        <v>68044</v>
      </c>
      <c r="I697" s="17">
        <v>44368</v>
      </c>
      <c r="J697" s="17">
        <v>9423</v>
      </c>
      <c r="K697" s="6">
        <v>2024</v>
      </c>
      <c r="L697" s="12">
        <f t="shared" si="10"/>
        <v>124967.75</v>
      </c>
    </row>
    <row r="698" spans="1:12" x14ac:dyDescent="0.3">
      <c r="A698" s="31">
        <v>115</v>
      </c>
      <c r="B698" s="33" t="s">
        <v>149</v>
      </c>
      <c r="C698" s="33" t="s">
        <v>39</v>
      </c>
      <c r="D698" s="17">
        <v>435450</v>
      </c>
      <c r="E698" s="7">
        <v>456719</v>
      </c>
      <c r="F698" s="17">
        <v>61126</v>
      </c>
      <c r="G698" s="17">
        <v>68</v>
      </c>
      <c r="H698" s="17">
        <v>52172</v>
      </c>
      <c r="I698" s="17">
        <v>100000</v>
      </c>
      <c r="J698" s="17">
        <v>30273</v>
      </c>
      <c r="K698" s="6">
        <v>2024</v>
      </c>
      <c r="L698" s="12">
        <f t="shared" si="10"/>
        <v>142504.25</v>
      </c>
    </row>
    <row r="699" spans="1:12" x14ac:dyDescent="0.3">
      <c r="A699" s="31">
        <v>116</v>
      </c>
      <c r="B699" s="33" t="s">
        <v>165</v>
      </c>
      <c r="C699" s="33" t="s">
        <v>39</v>
      </c>
      <c r="D699" s="17">
        <v>434070</v>
      </c>
      <c r="E699" s="7">
        <v>472308</v>
      </c>
      <c r="F699" s="17">
        <v>63008</v>
      </c>
      <c r="G699" s="17">
        <v>68</v>
      </c>
      <c r="H699" s="17">
        <v>100000</v>
      </c>
      <c r="I699" s="17">
        <v>42378</v>
      </c>
      <c r="J699" s="17">
        <v>12354</v>
      </c>
      <c r="K699" s="6">
        <v>2024</v>
      </c>
      <c r="L699" s="12">
        <f t="shared" si="10"/>
        <v>158829</v>
      </c>
    </row>
    <row r="700" spans="1:12" x14ac:dyDescent="0.3">
      <c r="A700" s="31">
        <v>117</v>
      </c>
      <c r="B700" s="33" t="s">
        <v>134</v>
      </c>
      <c r="C700" s="33" t="s">
        <v>90</v>
      </c>
      <c r="D700" s="17">
        <v>428940</v>
      </c>
      <c r="E700" s="7">
        <v>502920</v>
      </c>
      <c r="F700" s="17">
        <v>46219</v>
      </c>
      <c r="G700" s="17">
        <v>66</v>
      </c>
      <c r="H700" s="17">
        <v>72188</v>
      </c>
      <c r="I700" s="17">
        <v>45589</v>
      </c>
      <c r="J700" s="17">
        <v>4822</v>
      </c>
      <c r="K700" s="6">
        <v>2024</v>
      </c>
      <c r="L700" s="12">
        <f t="shared" si="10"/>
        <v>155331.75</v>
      </c>
    </row>
    <row r="701" spans="1:12" x14ac:dyDescent="0.3">
      <c r="A701" s="31">
        <v>118</v>
      </c>
      <c r="B701" s="33" t="s">
        <v>136</v>
      </c>
      <c r="C701" s="33" t="s">
        <v>90</v>
      </c>
      <c r="D701" s="17">
        <v>426860</v>
      </c>
      <c r="E701" s="7">
        <v>289078</v>
      </c>
      <c r="F701" s="17">
        <v>41648</v>
      </c>
      <c r="G701" s="17">
        <v>64</v>
      </c>
      <c r="H701" s="17">
        <v>63225</v>
      </c>
      <c r="I701" s="17">
        <v>44368</v>
      </c>
      <c r="J701" s="17">
        <v>12954</v>
      </c>
      <c r="K701" s="6">
        <v>2024</v>
      </c>
      <c r="L701" s="12">
        <f t="shared" si="10"/>
        <v>98487.75</v>
      </c>
    </row>
    <row r="702" spans="1:12" x14ac:dyDescent="0.3">
      <c r="A702" s="31">
        <v>119</v>
      </c>
      <c r="B702" s="33" t="s">
        <v>158</v>
      </c>
      <c r="C702" s="33" t="s">
        <v>90</v>
      </c>
      <c r="D702" s="17">
        <v>423200</v>
      </c>
      <c r="E702" s="7">
        <v>349171</v>
      </c>
      <c r="F702" s="17">
        <v>42555</v>
      </c>
      <c r="G702" s="17">
        <v>63</v>
      </c>
      <c r="H702" s="17">
        <v>67842</v>
      </c>
      <c r="I702" s="17">
        <v>30029</v>
      </c>
      <c r="J702" s="17">
        <v>15580</v>
      </c>
      <c r="K702" s="6">
        <v>2024</v>
      </c>
      <c r="L702" s="12">
        <f t="shared" si="10"/>
        <v>114892</v>
      </c>
    </row>
    <row r="703" spans="1:12" x14ac:dyDescent="0.3">
      <c r="A703" s="31">
        <v>120</v>
      </c>
      <c r="B703" s="33" t="s">
        <v>167</v>
      </c>
      <c r="C703" s="33" t="s">
        <v>90</v>
      </c>
      <c r="D703" s="17">
        <v>422790</v>
      </c>
      <c r="E703" s="7">
        <v>293343</v>
      </c>
      <c r="F703" s="17">
        <v>50942</v>
      </c>
      <c r="G703" s="17">
        <v>65</v>
      </c>
      <c r="H703" s="17">
        <v>29013</v>
      </c>
      <c r="I703" s="17">
        <v>43020</v>
      </c>
      <c r="J703" s="17">
        <v>21427</v>
      </c>
      <c r="K703" s="6">
        <v>2024</v>
      </c>
      <c r="L703" s="12">
        <f t="shared" si="10"/>
        <v>93324.5</v>
      </c>
    </row>
    <row r="704" spans="1:12" x14ac:dyDescent="0.3">
      <c r="A704" s="31">
        <v>121</v>
      </c>
      <c r="B704" s="33" t="s">
        <v>178</v>
      </c>
      <c r="C704" s="33" t="s">
        <v>90</v>
      </c>
      <c r="D704" s="17">
        <v>421410</v>
      </c>
      <c r="E704" s="7">
        <v>354351</v>
      </c>
      <c r="F704" s="17">
        <v>36257</v>
      </c>
      <c r="G704" s="17">
        <v>65</v>
      </c>
      <c r="H704" s="17">
        <v>52429</v>
      </c>
      <c r="I704" s="17">
        <v>31606</v>
      </c>
      <c r="J704" s="17">
        <v>27127</v>
      </c>
      <c r="K704" s="6">
        <v>2024</v>
      </c>
      <c r="L704" s="12">
        <f t="shared" si="10"/>
        <v>110759.25</v>
      </c>
    </row>
    <row r="705" spans="1:12" x14ac:dyDescent="0.3">
      <c r="A705" s="31">
        <v>122</v>
      </c>
      <c r="B705" s="33" t="s">
        <v>103</v>
      </c>
      <c r="C705" s="33" t="s">
        <v>24</v>
      </c>
      <c r="D705" s="17">
        <v>418580</v>
      </c>
      <c r="E705" s="7">
        <v>589711</v>
      </c>
      <c r="F705" s="17">
        <v>60807</v>
      </c>
      <c r="G705" s="17">
        <v>73</v>
      </c>
      <c r="H705" s="17">
        <v>68713</v>
      </c>
      <c r="I705" s="17">
        <v>14801</v>
      </c>
      <c r="J705" s="17">
        <v>32942</v>
      </c>
      <c r="K705" s="6">
        <v>2024</v>
      </c>
      <c r="L705" s="12">
        <f t="shared" si="10"/>
        <v>179807.75</v>
      </c>
    </row>
    <row r="706" spans="1:12" x14ac:dyDescent="0.3">
      <c r="A706" s="31">
        <v>123</v>
      </c>
      <c r="B706" s="33" t="s">
        <v>137</v>
      </c>
      <c r="C706" s="33" t="s">
        <v>99</v>
      </c>
      <c r="D706" s="17">
        <v>405410</v>
      </c>
      <c r="E706" s="7">
        <v>544809</v>
      </c>
      <c r="F706" s="17">
        <v>40375</v>
      </c>
      <c r="G706" s="17">
        <v>68</v>
      </c>
      <c r="H706" s="17">
        <v>88795</v>
      </c>
      <c r="I706" s="17">
        <v>43393</v>
      </c>
      <c r="J706" s="17">
        <v>21217</v>
      </c>
      <c r="K706" s="6">
        <v>2024</v>
      </c>
      <c r="L706" s="12">
        <f t="shared" si="10"/>
        <v>168494.75</v>
      </c>
    </row>
    <row r="707" spans="1:12" x14ac:dyDescent="0.3">
      <c r="A707" s="31">
        <v>124</v>
      </c>
      <c r="B707" s="33" t="s">
        <v>155</v>
      </c>
      <c r="C707" s="33" t="s">
        <v>24</v>
      </c>
      <c r="D707" s="17">
        <v>397660</v>
      </c>
      <c r="E707" s="7">
        <v>640020</v>
      </c>
      <c r="F707" s="17">
        <v>61604</v>
      </c>
      <c r="G707" s="17">
        <v>70</v>
      </c>
      <c r="H707" s="17">
        <v>56722</v>
      </c>
      <c r="I707" s="17">
        <v>6326</v>
      </c>
      <c r="J707" s="17">
        <v>45073</v>
      </c>
      <c r="K707" s="6">
        <v>2024</v>
      </c>
      <c r="L707" s="12">
        <f t="shared" ref="L707:L723" si="11">AVERAGE(E707,F707,H707,)</f>
        <v>189586.5</v>
      </c>
    </row>
    <row r="708" spans="1:12" x14ac:dyDescent="0.3">
      <c r="A708" s="31">
        <v>125</v>
      </c>
      <c r="B708" s="33" t="s">
        <v>152</v>
      </c>
      <c r="C708" s="33" t="s">
        <v>99</v>
      </c>
      <c r="D708" s="17">
        <v>389810</v>
      </c>
      <c r="E708" s="7">
        <v>635814</v>
      </c>
      <c r="F708" s="17">
        <v>72914</v>
      </c>
      <c r="G708" s="17">
        <v>73</v>
      </c>
      <c r="H708" s="17">
        <v>67536</v>
      </c>
      <c r="I708" s="17">
        <v>35942</v>
      </c>
      <c r="J708" s="17">
        <v>5363</v>
      </c>
      <c r="K708" s="6">
        <v>2024</v>
      </c>
      <c r="L708" s="12">
        <f t="shared" si="11"/>
        <v>194066</v>
      </c>
    </row>
    <row r="709" spans="1:12" x14ac:dyDescent="0.3">
      <c r="A709" s="31">
        <v>126</v>
      </c>
      <c r="B709" s="33" t="s">
        <v>129</v>
      </c>
      <c r="C709" s="33" t="s">
        <v>99</v>
      </c>
      <c r="D709" s="17">
        <v>388590</v>
      </c>
      <c r="E709" s="7">
        <v>523988</v>
      </c>
      <c r="F709" s="17">
        <v>15414</v>
      </c>
      <c r="G709" s="17">
        <v>71</v>
      </c>
      <c r="H709" s="17">
        <v>89752</v>
      </c>
      <c r="I709" s="17">
        <v>35025</v>
      </c>
      <c r="J709" s="17">
        <v>29115</v>
      </c>
      <c r="K709" s="6">
        <v>2024</v>
      </c>
      <c r="L709" s="12">
        <f t="shared" si="11"/>
        <v>157288.5</v>
      </c>
    </row>
    <row r="710" spans="1:12" x14ac:dyDescent="0.3">
      <c r="A710" s="31">
        <v>127</v>
      </c>
      <c r="B710" s="33" t="s">
        <v>142</v>
      </c>
      <c r="C710" s="33" t="s">
        <v>90</v>
      </c>
      <c r="D710" s="17">
        <v>386090</v>
      </c>
      <c r="E710" s="7">
        <v>369798</v>
      </c>
      <c r="F710" s="17">
        <v>56598</v>
      </c>
      <c r="G710" s="17">
        <v>68</v>
      </c>
      <c r="H710" s="17">
        <v>51069</v>
      </c>
      <c r="I710" s="17">
        <v>67442</v>
      </c>
      <c r="J710" s="17">
        <v>17505</v>
      </c>
      <c r="K710" s="6">
        <v>2024</v>
      </c>
      <c r="L710" s="12">
        <f t="shared" si="11"/>
        <v>119366.25</v>
      </c>
    </row>
    <row r="711" spans="1:12" x14ac:dyDescent="0.3">
      <c r="A711" s="31">
        <v>128</v>
      </c>
      <c r="B711" s="33" t="s">
        <v>166</v>
      </c>
      <c r="C711" s="33" t="s">
        <v>90</v>
      </c>
      <c r="D711" s="17">
        <v>378060</v>
      </c>
      <c r="E711" s="7">
        <v>383149</v>
      </c>
      <c r="F711" s="17">
        <v>43676</v>
      </c>
      <c r="G711" s="17">
        <v>67</v>
      </c>
      <c r="H711" s="17">
        <v>82153</v>
      </c>
      <c r="I711" s="17">
        <v>47697</v>
      </c>
      <c r="J711" s="17">
        <v>44723</v>
      </c>
      <c r="K711" s="6">
        <v>2024</v>
      </c>
      <c r="L711" s="12">
        <f t="shared" si="11"/>
        <v>127244.5</v>
      </c>
    </row>
    <row r="712" spans="1:12" x14ac:dyDescent="0.3">
      <c r="A712" s="31">
        <v>129</v>
      </c>
      <c r="B712" s="33" t="s">
        <v>160</v>
      </c>
      <c r="C712" s="33" t="s">
        <v>90</v>
      </c>
      <c r="D712" s="17">
        <v>356630</v>
      </c>
      <c r="E712" s="7">
        <v>418371</v>
      </c>
      <c r="F712" s="17">
        <v>20290</v>
      </c>
      <c r="G712" s="17">
        <v>66</v>
      </c>
      <c r="H712" s="17">
        <v>19937</v>
      </c>
      <c r="I712" s="17">
        <v>32054</v>
      </c>
      <c r="J712" s="17">
        <v>27768</v>
      </c>
      <c r="K712" s="6">
        <v>2024</v>
      </c>
      <c r="L712" s="12">
        <f t="shared" si="11"/>
        <v>114649.5</v>
      </c>
    </row>
    <row r="713" spans="1:12" x14ac:dyDescent="0.3">
      <c r="A713" s="31">
        <v>130</v>
      </c>
      <c r="B713" s="33" t="s">
        <v>156</v>
      </c>
      <c r="C713" s="33" t="s">
        <v>24</v>
      </c>
      <c r="D713" s="17">
        <v>356100</v>
      </c>
      <c r="E713" s="7">
        <v>313606</v>
      </c>
      <c r="F713" s="17">
        <v>79273</v>
      </c>
      <c r="G713" s="17">
        <v>64</v>
      </c>
      <c r="H713" s="17">
        <v>41974</v>
      </c>
      <c r="I713" s="17">
        <v>19988</v>
      </c>
      <c r="J713" s="17">
        <v>19678</v>
      </c>
      <c r="K713" s="6">
        <v>2024</v>
      </c>
      <c r="L713" s="12">
        <f t="shared" si="11"/>
        <v>108713.25</v>
      </c>
    </row>
    <row r="714" spans="1:12" x14ac:dyDescent="0.3">
      <c r="A714" s="31">
        <v>131</v>
      </c>
      <c r="B714" s="33" t="s">
        <v>105</v>
      </c>
      <c r="C714" s="33" t="s">
        <v>90</v>
      </c>
      <c r="D714" s="17">
        <v>350240</v>
      </c>
      <c r="E714" s="7">
        <v>419978</v>
      </c>
      <c r="F714" s="17">
        <v>50041</v>
      </c>
      <c r="G714" s="17">
        <v>63</v>
      </c>
      <c r="H714" s="17">
        <v>84216</v>
      </c>
      <c r="I714" s="17">
        <v>41825</v>
      </c>
      <c r="J714" s="17">
        <v>19012</v>
      </c>
      <c r="K714" s="6">
        <v>2024</v>
      </c>
      <c r="L714" s="12">
        <f t="shared" si="11"/>
        <v>138558.75</v>
      </c>
    </row>
    <row r="715" spans="1:12" x14ac:dyDescent="0.3">
      <c r="A715" s="31">
        <v>132</v>
      </c>
      <c r="B715" s="33" t="s">
        <v>194</v>
      </c>
      <c r="C715" s="33" t="s">
        <v>90</v>
      </c>
      <c r="D715" s="17">
        <v>350200</v>
      </c>
      <c r="E715" s="7">
        <v>586448</v>
      </c>
      <c r="F715" s="17">
        <v>57229</v>
      </c>
      <c r="G715" s="17">
        <v>60</v>
      </c>
      <c r="H715" s="17">
        <v>32912</v>
      </c>
      <c r="I715" s="17">
        <v>14811</v>
      </c>
      <c r="J715" s="17">
        <v>20145</v>
      </c>
      <c r="K715" s="6">
        <v>2024</v>
      </c>
      <c r="L715" s="12">
        <f t="shared" si="11"/>
        <v>169147.25</v>
      </c>
    </row>
    <row r="716" spans="1:12" x14ac:dyDescent="0.3">
      <c r="A716" s="31">
        <v>133</v>
      </c>
      <c r="B716" s="33" t="s">
        <v>151</v>
      </c>
      <c r="C716" s="33" t="s">
        <v>90</v>
      </c>
      <c r="D716" s="17">
        <v>342100</v>
      </c>
      <c r="E716" s="7">
        <v>288206</v>
      </c>
      <c r="F716" s="17">
        <v>25386</v>
      </c>
      <c r="G716" s="17">
        <v>66</v>
      </c>
      <c r="H716" s="17">
        <v>66127</v>
      </c>
      <c r="I716" s="17">
        <v>33636</v>
      </c>
      <c r="J716" s="17">
        <v>23615</v>
      </c>
      <c r="K716" s="6">
        <v>2024</v>
      </c>
      <c r="L716" s="12">
        <f t="shared" si="11"/>
        <v>94929.75</v>
      </c>
    </row>
    <row r="717" spans="1:12" x14ac:dyDescent="0.3">
      <c r="A717" s="31">
        <v>134</v>
      </c>
      <c r="B717" s="33" t="s">
        <v>148</v>
      </c>
      <c r="C717" s="33" t="s">
        <v>90</v>
      </c>
      <c r="D717" s="17">
        <v>338340</v>
      </c>
      <c r="E717" s="7">
        <v>674926</v>
      </c>
      <c r="F717" s="17">
        <v>59919</v>
      </c>
      <c r="G717" s="17">
        <v>62</v>
      </c>
      <c r="H717" s="17">
        <v>65642</v>
      </c>
      <c r="I717" s="17">
        <v>3599</v>
      </c>
      <c r="J717" s="17">
        <v>14271</v>
      </c>
      <c r="K717" s="6">
        <v>2024</v>
      </c>
      <c r="L717" s="12">
        <f t="shared" si="11"/>
        <v>200121.75</v>
      </c>
    </row>
    <row r="718" spans="1:12" x14ac:dyDescent="0.3">
      <c r="A718" s="31">
        <v>135</v>
      </c>
      <c r="B718" s="33" t="s">
        <v>135</v>
      </c>
      <c r="C718" s="33" t="s">
        <v>90</v>
      </c>
      <c r="D718" s="17">
        <v>334110</v>
      </c>
      <c r="E718" s="7">
        <v>349606</v>
      </c>
      <c r="F718" s="17">
        <v>52587</v>
      </c>
      <c r="G718" s="17">
        <v>62</v>
      </c>
      <c r="H718" s="17">
        <v>56401</v>
      </c>
      <c r="I718" s="17">
        <v>23983</v>
      </c>
      <c r="J718" s="17">
        <v>22708</v>
      </c>
      <c r="K718" s="6">
        <v>2024</v>
      </c>
      <c r="L718" s="12">
        <f t="shared" si="11"/>
        <v>114648.5</v>
      </c>
    </row>
    <row r="719" spans="1:12" x14ac:dyDescent="0.3">
      <c r="A719" s="31">
        <v>136</v>
      </c>
      <c r="B719" s="33" t="s">
        <v>140</v>
      </c>
      <c r="C719" s="33" t="s">
        <v>90</v>
      </c>
      <c r="D719" s="17">
        <v>329540</v>
      </c>
      <c r="E719" s="7">
        <v>249318</v>
      </c>
      <c r="F719" s="17">
        <v>41119</v>
      </c>
      <c r="G719" s="17">
        <v>63</v>
      </c>
      <c r="H719" s="17">
        <v>54754</v>
      </c>
      <c r="I719" s="17">
        <v>47074</v>
      </c>
      <c r="J719" s="17">
        <v>12548</v>
      </c>
      <c r="K719" s="6">
        <v>2024</v>
      </c>
      <c r="L719" s="12">
        <f t="shared" si="11"/>
        <v>86297.75</v>
      </c>
    </row>
    <row r="720" spans="1:12" x14ac:dyDescent="0.3">
      <c r="A720" s="31">
        <v>137</v>
      </c>
      <c r="B720" s="33" t="s">
        <v>143</v>
      </c>
      <c r="C720" s="33" t="s">
        <v>90</v>
      </c>
      <c r="D720" s="17">
        <v>324520</v>
      </c>
      <c r="E720" s="7">
        <v>305663</v>
      </c>
      <c r="F720" s="17">
        <v>35012</v>
      </c>
      <c r="G720" s="17">
        <v>63</v>
      </c>
      <c r="H720" s="17">
        <v>54328</v>
      </c>
      <c r="I720" s="17">
        <v>45249</v>
      </c>
      <c r="J720" s="17">
        <v>9268</v>
      </c>
      <c r="K720" s="6">
        <v>2024</v>
      </c>
      <c r="L720" s="12">
        <f t="shared" si="11"/>
        <v>98750.75</v>
      </c>
    </row>
    <row r="721" spans="1:12" x14ac:dyDescent="0.3">
      <c r="A721" s="31">
        <v>138</v>
      </c>
      <c r="B721" s="33" t="s">
        <v>117</v>
      </c>
      <c r="C721" s="33" t="s">
        <v>90</v>
      </c>
      <c r="D721" s="17">
        <v>318620</v>
      </c>
      <c r="E721" s="7">
        <v>360103</v>
      </c>
      <c r="F721" s="17">
        <v>52618</v>
      </c>
      <c r="G721" s="17">
        <v>55</v>
      </c>
      <c r="H721" s="17">
        <v>60601</v>
      </c>
      <c r="I721" s="17">
        <v>20480</v>
      </c>
      <c r="J721" s="17">
        <v>14774</v>
      </c>
      <c r="K721" s="6">
        <v>2024</v>
      </c>
      <c r="L721" s="12">
        <f t="shared" si="11"/>
        <v>118330.5</v>
      </c>
    </row>
    <row r="722" spans="1:12" x14ac:dyDescent="0.3">
      <c r="A722" s="31">
        <v>139</v>
      </c>
      <c r="B722" s="33" t="s">
        <v>123</v>
      </c>
      <c r="C722" s="33" t="s">
        <v>24</v>
      </c>
      <c r="D722" s="17">
        <v>270650</v>
      </c>
      <c r="E722" s="7">
        <v>643174</v>
      </c>
      <c r="F722" s="17">
        <v>35676</v>
      </c>
      <c r="G722" s="17">
        <v>72</v>
      </c>
      <c r="H722" s="17">
        <v>20065</v>
      </c>
      <c r="I722" s="17">
        <v>16876</v>
      </c>
      <c r="J722" s="17">
        <v>5003</v>
      </c>
      <c r="K722" s="6">
        <v>2024</v>
      </c>
      <c r="L722" s="12">
        <f t="shared" si="11"/>
        <v>174728.75</v>
      </c>
    </row>
    <row r="723" spans="1:12" x14ac:dyDescent="0.3">
      <c r="A723" s="31">
        <v>140</v>
      </c>
      <c r="B723" s="33" t="s">
        <v>173</v>
      </c>
      <c r="C723" s="33" t="s">
        <v>99</v>
      </c>
      <c r="D723" s="17">
        <v>172100</v>
      </c>
      <c r="E723" s="7">
        <v>293451</v>
      </c>
      <c r="F723" s="17">
        <v>0</v>
      </c>
      <c r="G723" s="17">
        <v>62</v>
      </c>
      <c r="H723" s="17">
        <v>0</v>
      </c>
      <c r="I723" s="17">
        <v>22638</v>
      </c>
      <c r="J723" s="17">
        <v>15383</v>
      </c>
      <c r="K723" s="6">
        <v>2024</v>
      </c>
      <c r="L723" s="12">
        <f t="shared" si="11"/>
        <v>73362.75</v>
      </c>
    </row>
  </sheetData>
  <autoFilter ref="A1:K723" xr:uid="{32F91D30-FBB5-46D4-BBF8-678955952A33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" operator="lessThan" id="{A9E68185-3E64-4224-9110-E723A8F50A81}">
            <xm:f>Calculations!$B$9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D1:D723</xm:sqref>
        </x14:conditionalFormatting>
        <x14:conditionalFormatting xmlns:xm="http://schemas.microsoft.com/office/excel/2006/main">
          <x14:cfRule type="cellIs" priority="15" operator="greaterThan" id="{F4D1D4FE-EBC0-404B-B9FC-AB313236E594}">
            <xm:f>Calculations!$B$10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D2:D723</xm:sqref>
        </x14:conditionalFormatting>
        <x14:conditionalFormatting xmlns:xm="http://schemas.microsoft.com/office/excel/2006/main">
          <x14:cfRule type="cellIs" priority="11" operator="lessThan" id="{DEE243E3-B8AD-4E36-9654-285BFEEFA609}">
            <xm:f>Calculations!$C$9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E1:E723</xm:sqref>
        </x14:conditionalFormatting>
        <x14:conditionalFormatting xmlns:xm="http://schemas.microsoft.com/office/excel/2006/main">
          <x14:cfRule type="cellIs" priority="13" operator="greaterThan" id="{474A0339-B6A3-4BA7-8458-19C06B378014}">
            <xm:f>Calculations!$C$10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E2:E723</xm:sqref>
        </x14:conditionalFormatting>
        <x14:conditionalFormatting xmlns:xm="http://schemas.microsoft.com/office/excel/2006/main">
          <x14:cfRule type="cellIs" priority="9" operator="greaterThan" id="{55701E33-5056-45C7-B56C-846ACC413106}">
            <xm:f>Calculations!$D$10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" operator="lessThan" id="{DD86CA9E-12CF-48DC-B083-3050E73881E8}">
            <xm:f>Calculations!$D$9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F2:F723</xm:sqref>
        </x14:conditionalFormatting>
        <x14:conditionalFormatting xmlns:xm="http://schemas.microsoft.com/office/excel/2006/main">
          <x14:cfRule type="cellIs" priority="7" operator="greaterThan" id="{ED0420B8-76FC-4E20-8D0F-58E365749FA6}">
            <xm:f>Calculations!$E$10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03C99E76-2807-45E4-BDD9-1842F777EC23}">
            <xm:f>Calculations!$E$9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G2:G723</xm:sqref>
        </x14:conditionalFormatting>
        <x14:conditionalFormatting xmlns:xm="http://schemas.microsoft.com/office/excel/2006/main">
          <x14:cfRule type="cellIs" priority="5" operator="greaterThan" id="{26E32F2C-40BB-4938-B657-CA21EA7E6452}">
            <xm:f>Calculations!$F$10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87FAEBA5-137C-45B2-85CD-37098CFC27A2}">
            <xm:f>Calculations!$F$9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H2:H723</xm:sqref>
        </x14:conditionalFormatting>
        <x14:conditionalFormatting xmlns:xm="http://schemas.microsoft.com/office/excel/2006/main">
          <x14:cfRule type="cellIs" priority="3" operator="greaterThan" id="{B37182CB-2B9E-4A73-8B38-6F5F0D80A95E}">
            <xm:f>Calculations!$G$10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lessThan" id="{0F1F5424-C965-4406-BB7D-95BB022037B1}">
            <xm:f>Calculations!$G$9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I2:I1048576</xm:sqref>
        </x14:conditionalFormatting>
        <x14:conditionalFormatting xmlns:xm="http://schemas.microsoft.com/office/excel/2006/main">
          <x14:cfRule type="cellIs" priority="1" operator="greaterThan" id="{3B20413A-D768-4733-8B09-7D642B5B26A2}">
            <xm:f>Calculations!$H$10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" operator="lessThan" id="{E60836FC-B29C-43E7-833A-D7095F34163A}">
            <xm:f>Calculations!$H$9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DDBE-19F0-492A-A3CC-D2DB5DEE6B5E}">
  <sheetPr filterMode="1"/>
  <dimension ref="A1:Q329"/>
  <sheetViews>
    <sheetView topLeftCell="A164" zoomScale="115" zoomScaleNormal="115" workbookViewId="0">
      <selection activeCell="A171" sqref="A171"/>
    </sheetView>
  </sheetViews>
  <sheetFormatPr defaultRowHeight="14.4" x14ac:dyDescent="0.3"/>
  <cols>
    <col min="1" max="1" width="22.44140625" bestFit="1" customWidth="1"/>
    <col min="2" max="2" width="14" bestFit="1" customWidth="1"/>
    <col min="3" max="3" width="15.5546875" bestFit="1" customWidth="1"/>
    <col min="4" max="4" width="14.44140625" customWidth="1"/>
    <col min="5" max="5" width="20.6640625" bestFit="1" customWidth="1"/>
    <col min="6" max="6" width="25.88671875" bestFit="1" customWidth="1"/>
    <col min="7" max="7" width="12" bestFit="1" customWidth="1"/>
    <col min="8" max="8" width="22.77734375" bestFit="1" customWidth="1"/>
    <col min="9" max="9" width="81" bestFit="1" customWidth="1"/>
    <col min="10" max="10" width="12.44140625" bestFit="1" customWidth="1"/>
    <col min="11" max="11" width="12.21875" customWidth="1"/>
    <col min="12" max="12" width="9.5546875" bestFit="1" customWidth="1"/>
    <col min="13" max="13" width="9.6640625" bestFit="1" customWidth="1"/>
    <col min="14" max="14" width="9.5546875" bestFit="1" customWidth="1"/>
    <col min="15" max="15" width="14.21875" bestFit="1" customWidth="1"/>
    <col min="18" max="18" width="11.6640625" bestFit="1" customWidth="1"/>
    <col min="19" max="19" width="16.109375" bestFit="1" customWidth="1"/>
    <col min="20" max="28" width="6" bestFit="1" customWidth="1"/>
    <col min="29" max="29" width="10.77734375" bestFit="1" customWidth="1"/>
    <col min="30" max="110" width="3" bestFit="1" customWidth="1"/>
    <col min="111" max="167" width="4" bestFit="1" customWidth="1"/>
    <col min="168" max="168" width="10.77734375" bestFit="1" customWidth="1"/>
  </cols>
  <sheetData>
    <row r="1" spans="1:17" x14ac:dyDescent="0.3">
      <c r="B1" s="19" t="s">
        <v>209</v>
      </c>
      <c r="C1" s="19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17" x14ac:dyDescent="0.3">
      <c r="A2" s="13" t="s">
        <v>200</v>
      </c>
      <c r="B2" s="12">
        <f>AVERAGE('Cleaned Data 2020 - 2024'!D:D)</f>
        <v>552541.82825484767</v>
      </c>
      <c r="C2" s="11">
        <f>AVERAGE('Cleaned Data 2020 - 2024'!E:E)</f>
        <v>607029.65096952906</v>
      </c>
      <c r="D2" s="12">
        <f>AVERAGE('Cleaned Data 2020 - 2024'!F:F)</f>
        <v>70524.606648199449</v>
      </c>
      <c r="E2" s="12">
        <f>AVERAGE('Cleaned Data 2020 - 2024'!G:G)</f>
        <v>67.732686980609415</v>
      </c>
      <c r="F2" s="12">
        <f>AVERAGE('Cleaned Data 2020 - 2024'!H:H)</f>
        <v>69606.552631578947</v>
      </c>
      <c r="G2" s="12">
        <f>AVERAGE('Cleaned Data 2020 - 2024'!I:I)</f>
        <v>33827.085872576179</v>
      </c>
      <c r="H2" s="12">
        <f>AVERAGE('Cleaned Data 2020 - 2024'!J:J)</f>
        <v>56489.323753462602</v>
      </c>
    </row>
    <row r="3" spans="1:17" x14ac:dyDescent="0.3">
      <c r="A3" s="13" t="s">
        <v>208</v>
      </c>
      <c r="B3" s="12">
        <f>MEDIAN('Cleaned Data 2020 - 2024'!D:D)</f>
        <v>560350</v>
      </c>
      <c r="C3" s="11">
        <f>MEDIAN('Cleaned Data 2020 - 2024'!E:E)</f>
        <v>637441</v>
      </c>
      <c r="D3" s="12">
        <f>MEDIAN('Cleaned Data 2020 - 2024'!F:F)</f>
        <v>75753.5</v>
      </c>
      <c r="E3" s="12">
        <f>MEDIAN('Cleaned Data 2020 - 2024'!G:G)</f>
        <v>68</v>
      </c>
      <c r="F3" s="12">
        <f>MEDIAN('Cleaned Data 2020 - 2024'!H:H)</f>
        <v>72248</v>
      </c>
      <c r="G3" s="12">
        <f>MEDIAN('Cleaned Data 2020 - 2024'!I:I)</f>
        <v>31429.5</v>
      </c>
      <c r="H3" s="12">
        <f>MEDIAN('Cleaned Data 2020 - 2024'!J:J)</f>
        <v>67348.5</v>
      </c>
    </row>
    <row r="4" spans="1:17" x14ac:dyDescent="0.3">
      <c r="A4" s="13"/>
      <c r="B4" s="12"/>
      <c r="C4" s="11"/>
      <c r="D4" s="12"/>
      <c r="E4" s="12"/>
      <c r="F4" s="12"/>
      <c r="G4" s="12"/>
      <c r="H4" s="12"/>
    </row>
    <row r="5" spans="1:17" x14ac:dyDescent="0.3">
      <c r="A5" s="13" t="s">
        <v>201</v>
      </c>
      <c r="B5">
        <f>_xlfn.QUARTILE.INC('Cleaned Data 2020 - 2024'!D:D,1)</f>
        <v>476165</v>
      </c>
      <c r="C5" s="11">
        <f>_xlfn.QUARTILE.INC('Cleaned Data 2020 - 2024'!E:E,1)</f>
        <v>462299.5</v>
      </c>
      <c r="D5" s="12">
        <f>_xlfn.QUARTILE.INC('Cleaned Data 2020 - 2024'!F:F,1)</f>
        <v>58147.5</v>
      </c>
      <c r="E5">
        <f>_xlfn.QUARTILE.INC('Cleaned Data 2020 - 2024'!G:G,1)</f>
        <v>64</v>
      </c>
      <c r="F5" s="12">
        <f>_xlfn.QUARTILE.INC('Cleaned Data 2020 - 2024'!H:H,1)</f>
        <v>58198.5</v>
      </c>
      <c r="G5" s="12">
        <f>_xlfn.QUARTILE.INC('Cleaned Data 2020 - 2024'!I:I,1)</f>
        <v>20576.25</v>
      </c>
      <c r="H5" s="12">
        <f>_xlfn.QUARTILE.INC('Cleaned Data 2020 - 2024'!J:J,1)</f>
        <v>23624.25</v>
      </c>
    </row>
    <row r="6" spans="1:17" x14ac:dyDescent="0.3">
      <c r="A6" s="13" t="s">
        <v>202</v>
      </c>
      <c r="B6" s="12">
        <f>_xlfn.QUARTILE.INC('Cleaned Data 2020 - 2024'!D:D,3)</f>
        <v>632842.5</v>
      </c>
      <c r="C6" s="11">
        <f>_xlfn.QUARTILE.INC('Cleaned Data 2020 - 2024'!E:E,3)</f>
        <v>790752.5</v>
      </c>
      <c r="D6" s="12">
        <f>_xlfn.QUARTILE.INC('Cleaned Data 2020 - 2024'!F:F,3)</f>
        <v>86581.75</v>
      </c>
      <c r="E6">
        <f>_xlfn.QUARTILE.INC('Cleaned Data 2020 - 2024'!G:G,3)</f>
        <v>73</v>
      </c>
      <c r="F6" s="12">
        <f>_xlfn.QUARTILE.INC('Cleaned Data 2020 - 2024'!H:H,3)</f>
        <v>84669</v>
      </c>
      <c r="G6" s="12">
        <f>_xlfn.QUARTILE.INC('Cleaned Data 2020 - 2024'!I:I,3)</f>
        <v>44819.75</v>
      </c>
      <c r="H6" s="12">
        <f>_xlfn.QUARTILE.INC('Cleaned Data 2020 - 2024'!J:J,3)</f>
        <v>85440.25</v>
      </c>
    </row>
    <row r="7" spans="1:17" x14ac:dyDescent="0.3">
      <c r="A7" s="13" t="s">
        <v>203</v>
      </c>
      <c r="B7" s="12">
        <f>B6-B5</f>
        <v>156677.5</v>
      </c>
      <c r="C7" s="11">
        <f>C6-C5</f>
        <v>328453</v>
      </c>
      <c r="D7" s="12">
        <f>D6-D5</f>
        <v>28434.25</v>
      </c>
      <c r="E7" s="12">
        <f>E6-E5</f>
        <v>9</v>
      </c>
      <c r="F7" s="12">
        <f t="shared" ref="F7:H7" si="0">F6-F5</f>
        <v>26470.5</v>
      </c>
      <c r="G7" s="12">
        <f t="shared" si="0"/>
        <v>24243.5</v>
      </c>
      <c r="H7" s="12">
        <f t="shared" si="0"/>
        <v>61816</v>
      </c>
    </row>
    <row r="8" spans="1:17" x14ac:dyDescent="0.3">
      <c r="A8" s="13"/>
    </row>
    <row r="9" spans="1:17" x14ac:dyDescent="0.3">
      <c r="A9" s="13" t="s">
        <v>210</v>
      </c>
      <c r="B9" s="12">
        <f>B5-(1.5*B7)</f>
        <v>241148.75</v>
      </c>
      <c r="C9" s="11">
        <f>C5-(1.5*C7)</f>
        <v>-30380</v>
      </c>
      <c r="D9" s="12">
        <f t="shared" ref="D9:H9" si="1">D5-(1.5*D7)</f>
        <v>15496.125</v>
      </c>
      <c r="E9" s="12">
        <f t="shared" si="1"/>
        <v>50.5</v>
      </c>
      <c r="F9" s="12">
        <f t="shared" si="1"/>
        <v>18492.75</v>
      </c>
      <c r="G9" s="12">
        <f t="shared" si="1"/>
        <v>-15789</v>
      </c>
      <c r="H9" s="12">
        <f t="shared" si="1"/>
        <v>-69099.75</v>
      </c>
    </row>
    <row r="10" spans="1:17" x14ac:dyDescent="0.3">
      <c r="A10" s="13" t="s">
        <v>204</v>
      </c>
      <c r="B10" s="12">
        <f>B6+(1.5*B7)</f>
        <v>867858.75</v>
      </c>
      <c r="C10" s="11">
        <f t="shared" ref="C10:H10" si="2">C6+(1.5*C7)</f>
        <v>1283432</v>
      </c>
      <c r="D10" s="12">
        <f t="shared" si="2"/>
        <v>129233.125</v>
      </c>
      <c r="E10" s="12">
        <f t="shared" si="2"/>
        <v>86.5</v>
      </c>
      <c r="F10" s="12">
        <f t="shared" si="2"/>
        <v>124374.75</v>
      </c>
      <c r="G10" s="12">
        <f t="shared" si="2"/>
        <v>81185</v>
      </c>
      <c r="H10" s="12">
        <f t="shared" si="2"/>
        <v>178164.25</v>
      </c>
    </row>
    <row r="11" spans="1:17" x14ac:dyDescent="0.3">
      <c r="A11" s="13"/>
      <c r="B11" s="12"/>
      <c r="C11" s="11"/>
      <c r="D11" s="12"/>
      <c r="E11" s="12"/>
      <c r="F11" s="12"/>
      <c r="G11" s="12"/>
      <c r="H11" s="12"/>
    </row>
    <row r="12" spans="1:17" x14ac:dyDescent="0.3">
      <c r="A12" s="39" t="s">
        <v>223</v>
      </c>
      <c r="Q12" s="26"/>
    </row>
    <row r="13" spans="1:17" x14ac:dyDescent="0.3">
      <c r="A13" s="21" t="s">
        <v>1</v>
      </c>
      <c r="B13" s="21" t="s">
        <v>199</v>
      </c>
      <c r="C13" s="21" t="s">
        <v>211</v>
      </c>
      <c r="D13" s="21" t="s">
        <v>212</v>
      </c>
      <c r="E13" s="22" t="s">
        <v>213</v>
      </c>
      <c r="F13" s="22" t="s">
        <v>1</v>
      </c>
      <c r="Q13" s="14"/>
    </row>
    <row r="14" spans="1:17" x14ac:dyDescent="0.3">
      <c r="A14" s="23" t="s">
        <v>18</v>
      </c>
      <c r="B14" s="11">
        <f>AVERAGEIF('Cleaned Data 2020 - 2024'!B:B,Calculations!A14,'Cleaned Data 2020 - 2024'!E:E)</f>
        <v>847724.2</v>
      </c>
      <c r="C14" s="12">
        <f>AVERAGEIF('Cleaned Data 2020 - 2024'!B:B,Calculations!A14,'Cleaned Data 2020 - 2024'!J:J)</f>
        <v>42589.2</v>
      </c>
      <c r="D14" s="24" t="str">
        <f>IF(C14&lt;$H$2,"Y","N")</f>
        <v>Y</v>
      </c>
      <c r="E14" s="11">
        <f>_xlfn.MAXIFS(B14:B169,D14:D169,"Y")</f>
        <v>1000000</v>
      </c>
      <c r="F14" t="str">
        <f>_xlfn.XLOOKUP(E14,B14:B169,A14:A169)</f>
        <v>Luxembourg</v>
      </c>
      <c r="Q14" s="26"/>
    </row>
    <row r="15" spans="1:17" x14ac:dyDescent="0.3">
      <c r="A15" s="23" t="s">
        <v>14</v>
      </c>
      <c r="B15" s="11">
        <f>AVERAGEIF('Cleaned Data 2020 - 2024'!B:B,Calculations!A15,'Cleaned Data 2020 - 2024'!E:E)</f>
        <v>876487.4</v>
      </c>
      <c r="C15" s="12">
        <f>AVERAGEIF('Cleaned Data 2020 - 2024'!B:B,Calculations!A15,'Cleaned Data 2020 - 2024'!J:J)</f>
        <v>42156.800000000003</v>
      </c>
      <c r="D15" s="24" t="str">
        <f t="shared" ref="D15:D78" si="3">IF(C15&lt;$H$2,"Y","N")</f>
        <v>Y</v>
      </c>
    </row>
    <row r="16" spans="1:17" x14ac:dyDescent="0.3">
      <c r="A16" s="23" t="s">
        <v>11</v>
      </c>
      <c r="B16" s="11">
        <f>AVERAGEIF('Cleaned Data 2020 - 2024'!B:B,Calculations!A16,'Cleaned Data 2020 - 2024'!E:E)</f>
        <v>911207.2</v>
      </c>
      <c r="C16" s="12">
        <f>AVERAGEIF('Cleaned Data 2020 - 2024'!B:B,Calculations!A16,'Cleaned Data 2020 - 2024'!J:J)</f>
        <v>45677.8</v>
      </c>
      <c r="D16" s="24" t="str">
        <f t="shared" si="3"/>
        <v>Y</v>
      </c>
    </row>
    <row r="17" spans="1:4" x14ac:dyDescent="0.3">
      <c r="A17" s="23" t="s">
        <v>13</v>
      </c>
      <c r="B17" s="11">
        <f>AVERAGEIF('Cleaned Data 2020 - 2024'!B:B,Calculations!A17,'Cleaned Data 2020 - 2024'!E:E)</f>
        <v>867987.8</v>
      </c>
      <c r="C17" s="12">
        <f>AVERAGEIF('Cleaned Data 2020 - 2024'!B:B,Calculations!A17,'Cleaned Data 2020 - 2024'!J:J)</f>
        <v>54551.199999999997</v>
      </c>
      <c r="D17" s="24" t="str">
        <f t="shared" si="3"/>
        <v>Y</v>
      </c>
    </row>
    <row r="18" spans="1:4" x14ac:dyDescent="0.3">
      <c r="A18" s="23" t="s">
        <v>15</v>
      </c>
      <c r="B18" s="11">
        <f>AVERAGEIF('Cleaned Data 2020 - 2024'!B:B,Calculations!A18,'Cleaned Data 2020 - 2024'!E:E)</f>
        <v>906190.6</v>
      </c>
      <c r="C18" s="12">
        <f>AVERAGEIF('Cleaned Data 2020 - 2024'!B:B,Calculations!A18,'Cleaned Data 2020 - 2024'!J:J)</f>
        <v>44576.800000000003</v>
      </c>
      <c r="D18" s="24" t="str">
        <f t="shared" si="3"/>
        <v>Y</v>
      </c>
    </row>
    <row r="19" spans="1:4" x14ac:dyDescent="0.3">
      <c r="A19" s="23" t="s">
        <v>19</v>
      </c>
      <c r="B19" s="11">
        <f>AVERAGEIF('Cleaned Data 2020 - 2024'!B:B,Calculations!A19,'Cleaned Data 2020 - 2024'!E:E)</f>
        <v>875952.8</v>
      </c>
      <c r="C19" s="12">
        <f>AVERAGEIF('Cleaned Data 2020 - 2024'!B:B,Calculations!A19,'Cleaned Data 2020 - 2024'!J:J)</f>
        <v>45326.8</v>
      </c>
      <c r="D19" s="24" t="str">
        <f t="shared" si="3"/>
        <v>Y</v>
      </c>
    </row>
    <row r="20" spans="1:4" x14ac:dyDescent="0.3">
      <c r="A20" s="23" t="s">
        <v>20</v>
      </c>
      <c r="B20" s="11">
        <f>AVERAGEIF('Cleaned Data 2020 - 2024'!B:B,Calculations!A20,'Cleaned Data 2020 - 2024'!E:E)</f>
        <v>864947.4</v>
      </c>
      <c r="C20" s="12">
        <f>AVERAGEIF('Cleaned Data 2020 - 2024'!B:B,Calculations!A20,'Cleaned Data 2020 - 2024'!J:J)</f>
        <v>44157</v>
      </c>
      <c r="D20" s="24" t="str">
        <f t="shared" si="3"/>
        <v>Y</v>
      </c>
    </row>
    <row r="21" spans="1:4" x14ac:dyDescent="0.3">
      <c r="A21" s="23" t="s">
        <v>21</v>
      </c>
      <c r="B21" s="11">
        <f>AVERAGEIF('Cleaned Data 2020 - 2024'!B:B,Calculations!A21,'Cleaned Data 2020 - 2024'!E:E)</f>
        <v>825880</v>
      </c>
      <c r="C21" s="12">
        <f>AVERAGEIF('Cleaned Data 2020 - 2024'!B:B,Calculations!A21,'Cleaned Data 2020 - 2024'!J:J)</f>
        <v>42778.400000000001</v>
      </c>
      <c r="D21" s="24" t="str">
        <f t="shared" si="3"/>
        <v>Y</v>
      </c>
    </row>
    <row r="22" spans="1:4" x14ac:dyDescent="0.3">
      <c r="A22" s="23" t="s">
        <v>27</v>
      </c>
      <c r="B22" s="11">
        <f>AVERAGEIF('Cleaned Data 2020 - 2024'!B:B,Calculations!A22,'Cleaned Data 2020 - 2024'!E:E)</f>
        <v>868064</v>
      </c>
      <c r="C22" s="12">
        <f>AVERAGEIF('Cleaned Data 2020 - 2024'!B:B,Calculations!A22,'Cleaned Data 2020 - 2024'!J:J)</f>
        <v>49532.4</v>
      </c>
      <c r="D22" s="24" t="str">
        <f t="shared" si="3"/>
        <v>Y</v>
      </c>
    </row>
    <row r="23" spans="1:4" x14ac:dyDescent="0.3">
      <c r="A23" s="23" t="s">
        <v>31</v>
      </c>
      <c r="B23" s="11">
        <f>AVERAGEIF('Cleaned Data 2020 - 2024'!B:B,Calculations!A23,'Cleaned Data 2020 - 2024'!E:E)</f>
        <v>1000000</v>
      </c>
      <c r="C23" s="12">
        <f>AVERAGEIF('Cleaned Data 2020 - 2024'!B:B,Calculations!A23,'Cleaned Data 2020 - 2024'!J:J)</f>
        <v>46678.8</v>
      </c>
      <c r="D23" s="24" t="str">
        <f t="shared" si="3"/>
        <v>Y</v>
      </c>
    </row>
    <row r="24" spans="1:4" x14ac:dyDescent="0.3">
      <c r="A24" s="23" t="s">
        <v>16</v>
      </c>
      <c r="B24" s="11">
        <f>AVERAGEIF('Cleaned Data 2020 - 2024'!B:B,Calculations!A24,'Cleaned Data 2020 - 2024'!E:E)</f>
        <v>848398.6</v>
      </c>
      <c r="C24" s="12">
        <f>AVERAGEIF('Cleaned Data 2020 - 2024'!B:B,Calculations!A24,'Cleaned Data 2020 - 2024'!J:J)</f>
        <v>46924</v>
      </c>
      <c r="D24" s="24" t="str">
        <f t="shared" si="3"/>
        <v>Y</v>
      </c>
    </row>
    <row r="25" spans="1:4" x14ac:dyDescent="0.3">
      <c r="A25" s="23" t="s">
        <v>22</v>
      </c>
      <c r="B25" s="11">
        <f>AVERAGEIF('Cleaned Data 2020 - 2024'!B:B,Calculations!A25,'Cleaned Data 2020 - 2024'!E:E)</f>
        <v>854467.2</v>
      </c>
      <c r="C25" s="12">
        <f>AVERAGEIF('Cleaned Data 2020 - 2024'!B:B,Calculations!A25,'Cleaned Data 2020 - 2024'!J:J)</f>
        <v>47604.800000000003</v>
      </c>
      <c r="D25" s="24" t="str">
        <f t="shared" si="3"/>
        <v>Y</v>
      </c>
    </row>
    <row r="26" spans="1:4" x14ac:dyDescent="0.3">
      <c r="A26" s="23" t="s">
        <v>35</v>
      </c>
      <c r="B26" s="11">
        <f>AVERAGEIF('Cleaned Data 2020 - 2024'!B:B,Calculations!A26,'Cleaned Data 2020 - 2024'!E:E)</f>
        <v>836313.8</v>
      </c>
      <c r="C26" s="12">
        <f>AVERAGEIF('Cleaned Data 2020 - 2024'!B:B,Calculations!A26,'Cleaned Data 2020 - 2024'!J:J)</f>
        <v>48008.4</v>
      </c>
      <c r="D26" s="24" t="str">
        <f t="shared" si="3"/>
        <v>Y</v>
      </c>
    </row>
    <row r="27" spans="1:4" x14ac:dyDescent="0.3">
      <c r="A27" s="23" t="s">
        <v>23</v>
      </c>
      <c r="B27" s="11">
        <f>AVERAGEIF('Cleaned Data 2020 - 2024'!B:B,Calculations!A27,'Cleaned Data 2020 - 2024'!E:E)</f>
        <v>815991.4</v>
      </c>
      <c r="C27" s="12">
        <f>AVERAGEIF('Cleaned Data 2020 - 2024'!B:B,Calculations!A27,'Cleaned Data 2020 - 2024'!J:J)</f>
        <v>57829.599999999999</v>
      </c>
      <c r="D27" s="24" t="str">
        <f t="shared" si="3"/>
        <v>N</v>
      </c>
    </row>
    <row r="28" spans="1:4" x14ac:dyDescent="0.3">
      <c r="A28" s="23" t="s">
        <v>25</v>
      </c>
      <c r="B28" s="11">
        <f>AVERAGEIF('Cleaned Data 2020 - 2024'!B:B,Calculations!A28,'Cleaned Data 2020 - 2024'!E:E)</f>
        <v>690707.6</v>
      </c>
      <c r="C28" s="12">
        <f>AVERAGEIF('Cleaned Data 2020 - 2024'!B:B,Calculations!A28,'Cleaned Data 2020 - 2024'!J:J)</f>
        <v>56985.2</v>
      </c>
      <c r="D28" s="24" t="str">
        <f t="shared" si="3"/>
        <v>N</v>
      </c>
    </row>
    <row r="29" spans="1:4" x14ac:dyDescent="0.3">
      <c r="A29" s="23" t="s">
        <v>32</v>
      </c>
      <c r="B29" s="11">
        <f>AVERAGEIF('Cleaned Data 2020 - 2024'!B:B,Calculations!A29,'Cleaned Data 2020 - 2024'!E:E)</f>
        <v>963479.6</v>
      </c>
      <c r="C29" s="12">
        <f>AVERAGEIF('Cleaned Data 2020 - 2024'!B:B,Calculations!A29,'Cleaned Data 2020 - 2024'!J:J)</f>
        <v>46398.2</v>
      </c>
      <c r="D29" s="24" t="str">
        <f t="shared" si="3"/>
        <v>Y</v>
      </c>
    </row>
    <row r="30" spans="1:4" x14ac:dyDescent="0.3">
      <c r="A30" s="23" t="s">
        <v>41</v>
      </c>
      <c r="B30" s="11">
        <f>AVERAGEIF('Cleaned Data 2020 - 2024'!B:B,Calculations!A30,'Cleaned Data 2020 - 2024'!E:E)</f>
        <v>863662.2</v>
      </c>
      <c r="C30" s="12">
        <f>AVERAGEIF('Cleaned Data 2020 - 2024'!B:B,Calculations!A30,'Cleaned Data 2020 - 2024'!J:J)</f>
        <v>49181</v>
      </c>
      <c r="D30" s="24" t="str">
        <f t="shared" si="3"/>
        <v>Y</v>
      </c>
    </row>
    <row r="31" spans="1:4" x14ac:dyDescent="0.3">
      <c r="A31" s="23" t="s">
        <v>29</v>
      </c>
      <c r="B31" s="11">
        <f>AVERAGEIF('Cleaned Data 2020 - 2024'!B:B,Calculations!A31,'Cleaned Data 2020 - 2024'!E:E)</f>
        <v>894602.6</v>
      </c>
      <c r="C31" s="12">
        <f>AVERAGEIF('Cleaned Data 2020 - 2024'!B:B,Calculations!A31,'Cleaned Data 2020 - 2024'!J:J)</f>
        <v>54421.2</v>
      </c>
      <c r="D31" s="24" t="str">
        <f t="shared" si="3"/>
        <v>Y</v>
      </c>
    </row>
    <row r="32" spans="1:4" x14ac:dyDescent="0.3">
      <c r="A32" s="23" t="s">
        <v>33</v>
      </c>
      <c r="B32" s="11">
        <f>AVERAGEIF('Cleaned Data 2020 - 2024'!B:B,Calculations!A32,'Cleaned Data 2020 - 2024'!E:E)</f>
        <v>856359.4</v>
      </c>
      <c r="C32" s="12">
        <f>AVERAGEIF('Cleaned Data 2020 - 2024'!B:B,Calculations!A32,'Cleaned Data 2020 - 2024'!J:J)</f>
        <v>53343.6</v>
      </c>
      <c r="D32" s="24" t="str">
        <f t="shared" si="3"/>
        <v>Y</v>
      </c>
    </row>
    <row r="33" spans="1:4" x14ac:dyDescent="0.3">
      <c r="A33" s="23" t="s">
        <v>34</v>
      </c>
      <c r="B33" s="11">
        <f>AVERAGEIF('Cleaned Data 2020 - 2024'!B:B,Calculations!A33,'Cleaned Data 2020 - 2024'!E:E)</f>
        <v>913221</v>
      </c>
      <c r="C33" s="12">
        <f>AVERAGEIF('Cleaned Data 2020 - 2024'!B:B,Calculations!A33,'Cleaned Data 2020 - 2024'!J:J)</f>
        <v>52268.6</v>
      </c>
      <c r="D33" s="24" t="str">
        <f t="shared" si="3"/>
        <v>Y</v>
      </c>
    </row>
    <row r="34" spans="1:4" x14ac:dyDescent="0.3">
      <c r="A34" s="23" t="s">
        <v>53</v>
      </c>
      <c r="B34" s="11">
        <f>AVERAGEIF('Cleaned Data 2020 - 2024'!B:B,Calculations!A34,'Cleaned Data 2020 - 2024'!E:E)</f>
        <v>828713.4</v>
      </c>
      <c r="C34" s="12">
        <f>AVERAGEIF('Cleaned Data 2020 - 2024'!B:B,Calculations!A34,'Cleaned Data 2020 - 2024'!J:J)</f>
        <v>51485</v>
      </c>
      <c r="D34" s="24" t="str">
        <f t="shared" si="3"/>
        <v>Y</v>
      </c>
    </row>
    <row r="35" spans="1:4" x14ac:dyDescent="0.3">
      <c r="A35" s="23" t="s">
        <v>44</v>
      </c>
      <c r="B35" s="11">
        <f>AVERAGEIF('Cleaned Data 2020 - 2024'!B:B,Calculations!A35,'Cleaned Data 2020 - 2024'!E:E)</f>
        <v>834659.8</v>
      </c>
      <c r="C35" s="12">
        <f>AVERAGEIF('Cleaned Data 2020 - 2024'!B:B,Calculations!A35,'Cleaned Data 2020 - 2024'!J:J)</f>
        <v>52079.8</v>
      </c>
      <c r="D35" s="24" t="str">
        <f t="shared" si="3"/>
        <v>Y</v>
      </c>
    </row>
    <row r="36" spans="1:4" x14ac:dyDescent="0.3">
      <c r="A36" s="23" t="s">
        <v>28</v>
      </c>
      <c r="B36" s="11">
        <f>AVERAGEIF('Cleaned Data 2020 - 2024'!B:B,Calculations!A36,'Cleaned Data 2020 - 2024'!E:E)</f>
        <v>685484.4</v>
      </c>
      <c r="C36" s="12">
        <f>AVERAGEIF('Cleaned Data 2020 - 2024'!B:B,Calculations!A36,'Cleaned Data 2020 - 2024'!J:J)</f>
        <v>57835.199999999997</v>
      </c>
      <c r="D36" s="24" t="str">
        <f t="shared" si="3"/>
        <v>N</v>
      </c>
    </row>
    <row r="37" spans="1:4" x14ac:dyDescent="0.3">
      <c r="A37" s="23" t="s">
        <v>184</v>
      </c>
      <c r="B37" s="11">
        <f>AVERAGEIF('Cleaned Data 2020 - 2024'!B:B,Calculations!A37,'Cleaned Data 2020 - 2024'!E:E)</f>
        <v>857472.8</v>
      </c>
      <c r="C37" s="12">
        <f>AVERAGEIF('Cleaned Data 2020 - 2024'!B:B,Calculations!A37,'Cleaned Data 2020 - 2024'!J:J)</f>
        <v>56414</v>
      </c>
      <c r="D37" s="24" t="str">
        <f t="shared" si="3"/>
        <v>Y</v>
      </c>
    </row>
    <row r="38" spans="1:4" x14ac:dyDescent="0.3">
      <c r="A38" s="23" t="s">
        <v>48</v>
      </c>
      <c r="B38" s="11">
        <f>AVERAGEIF('Cleaned Data 2020 - 2024'!B:B,Calculations!A38,'Cleaned Data 2020 - 2024'!E:E)</f>
        <v>714598.8</v>
      </c>
      <c r="C38" s="12">
        <f>AVERAGEIF('Cleaned Data 2020 - 2024'!B:B,Calculations!A38,'Cleaned Data 2020 - 2024'!J:J)</f>
        <v>52237</v>
      </c>
      <c r="D38" s="24" t="str">
        <f t="shared" si="3"/>
        <v>Y</v>
      </c>
    </row>
    <row r="39" spans="1:4" x14ac:dyDescent="0.3">
      <c r="A39" s="23" t="s">
        <v>51</v>
      </c>
      <c r="B39" s="11">
        <f>AVERAGEIF('Cleaned Data 2020 - 2024'!B:B,Calculations!A39,'Cleaned Data 2020 - 2024'!E:E)</f>
        <v>848164.6</v>
      </c>
      <c r="C39" s="12">
        <f>AVERAGEIF('Cleaned Data 2020 - 2024'!B:B,Calculations!A39,'Cleaned Data 2020 - 2024'!J:J)</f>
        <v>54527.8</v>
      </c>
      <c r="D39" s="24" t="str">
        <f t="shared" si="3"/>
        <v>Y</v>
      </c>
    </row>
    <row r="40" spans="1:4" x14ac:dyDescent="0.3">
      <c r="A40" s="23" t="s">
        <v>52</v>
      </c>
      <c r="B40" s="11">
        <f>AVERAGEIF('Cleaned Data 2020 - 2024'!B:B,Calculations!A40,'Cleaned Data 2020 - 2024'!E:E)</f>
        <v>809409</v>
      </c>
      <c r="C40" s="12">
        <f>AVERAGEIF('Cleaned Data 2020 - 2024'!B:B,Calculations!A40,'Cleaned Data 2020 - 2024'!J:J)</f>
        <v>57018.6</v>
      </c>
      <c r="D40" s="24" t="str">
        <f t="shared" si="3"/>
        <v>N</v>
      </c>
    </row>
    <row r="41" spans="1:4" x14ac:dyDescent="0.3">
      <c r="A41" s="23" t="s">
        <v>60</v>
      </c>
      <c r="B41" s="11">
        <f>AVERAGEIF('Cleaned Data 2020 - 2024'!B:B,Calculations!A41,'Cleaned Data 2020 - 2024'!E:E)</f>
        <v>544628</v>
      </c>
      <c r="C41" s="12">
        <f>AVERAGEIF('Cleaned Data 2020 - 2024'!B:B,Calculations!A41,'Cleaned Data 2020 - 2024'!J:J)</f>
        <v>56738</v>
      </c>
      <c r="D41" s="24" t="str">
        <f t="shared" si="3"/>
        <v>N</v>
      </c>
    </row>
    <row r="42" spans="1:4" x14ac:dyDescent="0.3">
      <c r="A42" s="23" t="s">
        <v>68</v>
      </c>
      <c r="B42" s="11">
        <f>AVERAGEIF('Cleaned Data 2020 - 2024'!B:B,Calculations!A42,'Cleaned Data 2020 - 2024'!E:E)</f>
        <v>820845</v>
      </c>
      <c r="C42" s="12">
        <f>AVERAGEIF('Cleaned Data 2020 - 2024'!B:B,Calculations!A42,'Cleaned Data 2020 - 2024'!J:J)</f>
        <v>59124</v>
      </c>
      <c r="D42" s="24" t="str">
        <f t="shared" si="3"/>
        <v>N</v>
      </c>
    </row>
    <row r="43" spans="1:4" x14ac:dyDescent="0.3">
      <c r="A43" s="23" t="s">
        <v>38</v>
      </c>
      <c r="B43" s="11">
        <f>AVERAGEIF('Cleaned Data 2020 - 2024'!B:B,Calculations!A43,'Cleaned Data 2020 - 2024'!E:E)</f>
        <v>980965.8</v>
      </c>
      <c r="C43" s="12">
        <f>AVERAGEIF('Cleaned Data 2020 - 2024'!B:B,Calculations!A43,'Cleaned Data 2020 - 2024'!J:J)</f>
        <v>100000</v>
      </c>
      <c r="D43" s="24" t="str">
        <f t="shared" si="3"/>
        <v>N</v>
      </c>
    </row>
    <row r="44" spans="1:4" x14ac:dyDescent="0.3">
      <c r="A44" s="23" t="s">
        <v>30</v>
      </c>
      <c r="B44" s="11">
        <f>AVERAGEIF('Cleaned Data 2020 - 2024'!B:B,Calculations!A44,'Cleaned Data 2020 - 2024'!E:E)</f>
        <v>639555.19999999995</v>
      </c>
      <c r="C44" s="12">
        <f>AVERAGEIF('Cleaned Data 2020 - 2024'!B:B,Calculations!A44,'Cleaned Data 2020 - 2024'!J:J)</f>
        <v>56377.599999999999</v>
      </c>
      <c r="D44" s="24" t="str">
        <f t="shared" si="3"/>
        <v>Y</v>
      </c>
    </row>
    <row r="45" spans="1:4" x14ac:dyDescent="0.3">
      <c r="A45" s="23" t="s">
        <v>73</v>
      </c>
      <c r="B45" s="11">
        <f>AVERAGEIF('Cleaned Data 2020 - 2024'!B:B,Calculations!A45,'Cleaned Data 2020 - 2024'!E:E)</f>
        <v>808423</v>
      </c>
      <c r="C45" s="12">
        <f>AVERAGEIF('Cleaned Data 2020 - 2024'!B:B,Calculations!A45,'Cleaned Data 2020 - 2024'!J:J)</f>
        <v>58451.199999999997</v>
      </c>
      <c r="D45" s="24" t="str">
        <f t="shared" si="3"/>
        <v>N</v>
      </c>
    </row>
    <row r="46" spans="1:4" x14ac:dyDescent="0.3">
      <c r="A46" s="23" t="s">
        <v>59</v>
      </c>
      <c r="B46" s="11">
        <f>AVERAGEIF('Cleaned Data 2020 - 2024'!B:B,Calculations!A46,'Cleaned Data 2020 - 2024'!E:E)</f>
        <v>542871.19999999995</v>
      </c>
      <c r="C46" s="12">
        <f>AVERAGEIF('Cleaned Data 2020 - 2024'!B:B,Calculations!A46,'Cleaned Data 2020 - 2024'!J:J)</f>
        <v>57856.4</v>
      </c>
      <c r="D46" s="24" t="str">
        <f t="shared" si="3"/>
        <v>N</v>
      </c>
    </row>
    <row r="47" spans="1:4" x14ac:dyDescent="0.3">
      <c r="A47" s="23" t="s">
        <v>87</v>
      </c>
      <c r="B47" s="11">
        <f>AVERAGEIF('Cleaned Data 2020 - 2024'!B:B,Calculations!A47,'Cleaned Data 2020 - 2024'!E:E)</f>
        <v>592206.4</v>
      </c>
      <c r="C47" s="12">
        <f>AVERAGEIF('Cleaned Data 2020 - 2024'!B:B,Calculations!A47,'Cleaned Data 2020 - 2024'!J:J)</f>
        <v>61280</v>
      </c>
      <c r="D47" s="24" t="str">
        <f t="shared" si="3"/>
        <v>N</v>
      </c>
    </row>
    <row r="48" spans="1:4" x14ac:dyDescent="0.3">
      <c r="A48" s="23" t="s">
        <v>40</v>
      </c>
      <c r="B48" s="11">
        <f>AVERAGEIF('Cleaned Data 2020 - 2024'!B:B,Calculations!A48,'Cleaned Data 2020 - 2024'!E:E)</f>
        <v>761176.6</v>
      </c>
      <c r="C48" s="12">
        <f>AVERAGEIF('Cleaned Data 2020 - 2024'!B:B,Calculations!A48,'Cleaned Data 2020 - 2024'!J:J)</f>
        <v>57943.8</v>
      </c>
      <c r="D48" s="24" t="str">
        <f t="shared" si="3"/>
        <v>N</v>
      </c>
    </row>
    <row r="49" spans="1:4" x14ac:dyDescent="0.3">
      <c r="A49" s="23" t="s">
        <v>63</v>
      </c>
      <c r="B49" s="11">
        <f>AVERAGEIF('Cleaned Data 2020 - 2024'!B:B,Calculations!A49,'Cleaned Data 2020 - 2024'!E:E)</f>
        <v>778461.8</v>
      </c>
      <c r="C49" s="12">
        <f>AVERAGEIF('Cleaned Data 2020 - 2024'!B:B,Calculations!A49,'Cleaned Data 2020 - 2024'!J:J)</f>
        <v>60973</v>
      </c>
      <c r="D49" s="24" t="str">
        <f t="shared" si="3"/>
        <v>N</v>
      </c>
    </row>
    <row r="50" spans="1:4" x14ac:dyDescent="0.3">
      <c r="A50" s="23" t="s">
        <v>61</v>
      </c>
      <c r="B50" s="11">
        <f>AVERAGEIF('Cleaned Data 2020 - 2024'!B:B,Calculations!A50,'Cleaned Data 2020 - 2024'!E:E)</f>
        <v>513670.40000000002</v>
      </c>
      <c r="C50" s="12">
        <f>AVERAGEIF('Cleaned Data 2020 - 2024'!B:B,Calculations!A50,'Cleaned Data 2020 - 2024'!J:J)</f>
        <v>47818.6</v>
      </c>
      <c r="D50" s="24" t="str">
        <f t="shared" si="3"/>
        <v>Y</v>
      </c>
    </row>
    <row r="51" spans="1:4" x14ac:dyDescent="0.3">
      <c r="A51" s="23" t="s">
        <v>42</v>
      </c>
      <c r="B51" s="11">
        <f>AVERAGEIF('Cleaned Data 2020 - 2024'!B:B,Calculations!A51,'Cleaned Data 2020 - 2024'!E:E)</f>
        <v>730001.6</v>
      </c>
      <c r="C51" s="12">
        <f>AVERAGEIF('Cleaned Data 2020 - 2024'!B:B,Calculations!A51,'Cleaned Data 2020 - 2024'!J:J)</f>
        <v>57346.400000000001</v>
      </c>
      <c r="D51" s="24" t="str">
        <f t="shared" si="3"/>
        <v>N</v>
      </c>
    </row>
    <row r="52" spans="1:4" x14ac:dyDescent="0.3">
      <c r="A52" s="23" t="s">
        <v>67</v>
      </c>
      <c r="B52" s="11">
        <f>AVERAGEIF('Cleaned Data 2020 - 2024'!B:B,Calculations!A52,'Cleaned Data 2020 - 2024'!E:E)</f>
        <v>835912.75</v>
      </c>
      <c r="C52" s="12">
        <f>AVERAGEIF('Cleaned Data 2020 - 2024'!B:B,Calculations!A52,'Cleaned Data 2020 - 2024'!J:J)</f>
        <v>63164.5</v>
      </c>
      <c r="D52" s="24" t="str">
        <f t="shared" si="3"/>
        <v>N</v>
      </c>
    </row>
    <row r="53" spans="1:4" x14ac:dyDescent="0.3">
      <c r="A53" s="23" t="s">
        <v>74</v>
      </c>
      <c r="B53" s="11">
        <f>AVERAGEIF('Cleaned Data 2020 - 2024'!B:B,Calculations!A53,'Cleaned Data 2020 - 2024'!E:E)</f>
        <v>802192.6</v>
      </c>
      <c r="C53" s="12">
        <f>AVERAGEIF('Cleaned Data 2020 - 2024'!B:B,Calculations!A53,'Cleaned Data 2020 - 2024'!J:J)</f>
        <v>57779.199999999997</v>
      </c>
      <c r="D53" s="24" t="str">
        <f t="shared" si="3"/>
        <v>N</v>
      </c>
    </row>
    <row r="54" spans="1:4" x14ac:dyDescent="0.3">
      <c r="A54" s="23" t="s">
        <v>58</v>
      </c>
      <c r="B54" s="11">
        <f>AVERAGEIF('Cleaned Data 2020 - 2024'!B:B,Calculations!A54,'Cleaned Data 2020 - 2024'!E:E)</f>
        <v>759849</v>
      </c>
      <c r="C54" s="12">
        <f>AVERAGEIF('Cleaned Data 2020 - 2024'!B:B,Calculations!A54,'Cleaned Data 2020 - 2024'!J:J)</f>
        <v>97172</v>
      </c>
      <c r="D54" s="24" t="str">
        <f t="shared" si="3"/>
        <v>N</v>
      </c>
    </row>
    <row r="55" spans="1:4" x14ac:dyDescent="0.3">
      <c r="A55" s="23" t="s">
        <v>78</v>
      </c>
      <c r="B55" s="11">
        <f>AVERAGEIF('Cleaned Data 2020 - 2024'!B:B,Calculations!A55,'Cleaned Data 2020 - 2024'!E:E)</f>
        <v>783803.4</v>
      </c>
      <c r="C55" s="12">
        <f>AVERAGEIF('Cleaned Data 2020 - 2024'!B:B,Calculations!A55,'Cleaned Data 2020 - 2024'!J:J)</f>
        <v>55147.8</v>
      </c>
      <c r="D55" s="24" t="str">
        <f t="shared" si="3"/>
        <v>Y</v>
      </c>
    </row>
    <row r="56" spans="1:4" x14ac:dyDescent="0.3">
      <c r="A56" s="23" t="s">
        <v>49</v>
      </c>
      <c r="B56" s="11">
        <f>AVERAGEIF('Cleaned Data 2020 - 2024'!B:B,Calculations!A56,'Cleaned Data 2020 - 2024'!E:E)</f>
        <v>635923.19999999995</v>
      </c>
      <c r="C56" s="12">
        <f>AVERAGEIF('Cleaned Data 2020 - 2024'!B:B,Calculations!A56,'Cleaned Data 2020 - 2024'!J:J)</f>
        <v>58195.6</v>
      </c>
      <c r="D56" s="24" t="str">
        <f t="shared" si="3"/>
        <v>N</v>
      </c>
    </row>
    <row r="57" spans="1:4" x14ac:dyDescent="0.3">
      <c r="A57" s="23" t="s">
        <v>85</v>
      </c>
      <c r="B57" s="11">
        <f>AVERAGEIF('Cleaned Data 2020 - 2024'!B:B,Calculations!A57,'Cleaned Data 2020 - 2024'!E:E)</f>
        <v>812831.8</v>
      </c>
      <c r="C57" s="12">
        <f>AVERAGEIF('Cleaned Data 2020 - 2024'!B:B,Calculations!A57,'Cleaned Data 2020 - 2024'!J:J)</f>
        <v>57904.800000000003</v>
      </c>
      <c r="D57" s="24" t="str">
        <f t="shared" si="3"/>
        <v>N</v>
      </c>
    </row>
    <row r="58" spans="1:4" x14ac:dyDescent="0.3">
      <c r="A58" s="23" t="s">
        <v>75</v>
      </c>
      <c r="B58" s="11">
        <f>AVERAGEIF('Cleaned Data 2020 - 2024'!B:B,Calculations!A58,'Cleaned Data 2020 - 2024'!E:E)</f>
        <v>463238.40000000002</v>
      </c>
      <c r="C58" s="12">
        <f>AVERAGEIF('Cleaned Data 2020 - 2024'!B:B,Calculations!A58,'Cleaned Data 2020 - 2024'!J:J)</f>
        <v>55219.6</v>
      </c>
      <c r="D58" s="24" t="str">
        <f t="shared" si="3"/>
        <v>Y</v>
      </c>
    </row>
    <row r="59" spans="1:4" x14ac:dyDescent="0.3">
      <c r="A59" s="23" t="s">
        <v>106</v>
      </c>
      <c r="B59" s="11">
        <f>AVERAGEIF('Cleaned Data 2020 - 2024'!B:B,Calculations!A59,'Cleaned Data 2020 - 2024'!E:E)</f>
        <v>762704.8</v>
      </c>
      <c r="C59" s="12">
        <f>AVERAGEIF('Cleaned Data 2020 - 2024'!B:B,Calculations!A59,'Cleaned Data 2020 - 2024'!J:J)</f>
        <v>60372.800000000003</v>
      </c>
      <c r="D59" s="24" t="str">
        <f t="shared" si="3"/>
        <v>N</v>
      </c>
    </row>
    <row r="60" spans="1:4" x14ac:dyDescent="0.3">
      <c r="A60" s="23" t="s">
        <v>56</v>
      </c>
      <c r="B60" s="11">
        <f>AVERAGEIF('Cleaned Data 2020 - 2024'!B:B,Calculations!A60,'Cleaned Data 2020 - 2024'!E:E)</f>
        <v>871326</v>
      </c>
      <c r="C60" s="12">
        <f>AVERAGEIF('Cleaned Data 2020 - 2024'!B:B,Calculations!A60,'Cleaned Data 2020 - 2024'!J:J)</f>
        <v>52497.25</v>
      </c>
      <c r="D60" s="24" t="str">
        <f t="shared" si="3"/>
        <v>Y</v>
      </c>
    </row>
    <row r="61" spans="1:4" x14ac:dyDescent="0.3">
      <c r="A61" s="23" t="s">
        <v>89</v>
      </c>
      <c r="B61" s="11">
        <f>AVERAGEIF('Cleaned Data 2020 - 2024'!B:B,Calculations!A61,'Cleaned Data 2020 - 2024'!E:E)</f>
        <v>709585.6</v>
      </c>
      <c r="C61" s="12">
        <f>AVERAGEIF('Cleaned Data 2020 - 2024'!B:B,Calculations!A61,'Cleaned Data 2020 - 2024'!J:J)</f>
        <v>57141.8</v>
      </c>
      <c r="D61" s="24" t="str">
        <f t="shared" si="3"/>
        <v>N</v>
      </c>
    </row>
    <row r="62" spans="1:4" x14ac:dyDescent="0.3">
      <c r="A62" s="23" t="s">
        <v>72</v>
      </c>
      <c r="B62" s="11">
        <f>AVERAGEIF('Cleaned Data 2020 - 2024'!B:B,Calculations!A62,'Cleaned Data 2020 - 2024'!E:E)</f>
        <v>740442.4</v>
      </c>
      <c r="C62" s="12">
        <f>AVERAGEIF('Cleaned Data 2020 - 2024'!B:B,Calculations!A62,'Cleaned Data 2020 - 2024'!J:J)</f>
        <v>55261.4</v>
      </c>
      <c r="D62" s="24" t="str">
        <f t="shared" si="3"/>
        <v>Y</v>
      </c>
    </row>
    <row r="63" spans="1:4" x14ac:dyDescent="0.3">
      <c r="A63" s="23" t="s">
        <v>92</v>
      </c>
      <c r="B63" s="11">
        <f>AVERAGEIF('Cleaned Data 2020 - 2024'!B:B,Calculations!A63,'Cleaned Data 2020 - 2024'!E:E)</f>
        <v>798244.8</v>
      </c>
      <c r="C63" s="12">
        <f>AVERAGEIF('Cleaned Data 2020 - 2024'!B:B,Calculations!A63,'Cleaned Data 2020 - 2024'!J:J)</f>
        <v>54839.199999999997</v>
      </c>
      <c r="D63" s="24" t="str">
        <f t="shared" si="3"/>
        <v>Y</v>
      </c>
    </row>
    <row r="64" spans="1:4" x14ac:dyDescent="0.3">
      <c r="A64" s="23" t="s">
        <v>110</v>
      </c>
      <c r="B64" s="11">
        <f>AVERAGEIF('Cleaned Data 2020 - 2024'!B:B,Calculations!A64,'Cleaned Data 2020 - 2024'!E:E)</f>
        <v>540703</v>
      </c>
      <c r="C64" s="12">
        <f>AVERAGEIF('Cleaned Data 2020 - 2024'!B:B,Calculations!A64,'Cleaned Data 2020 - 2024'!J:J)</f>
        <v>55027</v>
      </c>
      <c r="D64" s="24" t="str">
        <f t="shared" si="3"/>
        <v>Y</v>
      </c>
    </row>
    <row r="65" spans="1:4" x14ac:dyDescent="0.3">
      <c r="A65" s="23" t="s">
        <v>124</v>
      </c>
      <c r="B65" s="11">
        <f>AVERAGEIF('Cleaned Data 2020 - 2024'!B:B,Calculations!A65,'Cleaned Data 2020 - 2024'!E:E)</f>
        <v>778762.2</v>
      </c>
      <c r="C65" s="12">
        <f>AVERAGEIF('Cleaned Data 2020 - 2024'!B:B,Calculations!A65,'Cleaned Data 2020 - 2024'!J:J)</f>
        <v>59699.4</v>
      </c>
      <c r="D65" s="24" t="str">
        <f t="shared" si="3"/>
        <v>N</v>
      </c>
    </row>
    <row r="66" spans="1:4" x14ac:dyDescent="0.3">
      <c r="A66" s="23" t="s">
        <v>50</v>
      </c>
      <c r="B66" s="11">
        <f>AVERAGEIF('Cleaned Data 2020 - 2024'!B:B,Calculations!A66,'Cleaned Data 2020 - 2024'!E:E)</f>
        <v>672953.8</v>
      </c>
      <c r="C66" s="12">
        <f>AVERAGEIF('Cleaned Data 2020 - 2024'!B:B,Calculations!A66,'Cleaned Data 2020 - 2024'!J:J)</f>
        <v>59030.400000000001</v>
      </c>
      <c r="D66" s="24" t="str">
        <f t="shared" si="3"/>
        <v>N</v>
      </c>
    </row>
    <row r="67" spans="1:4" x14ac:dyDescent="0.3">
      <c r="A67" s="23" t="s">
        <v>45</v>
      </c>
      <c r="B67" s="11">
        <f>AVERAGEIF('Cleaned Data 2020 - 2024'!B:B,Calculations!A67,'Cleaned Data 2020 - 2024'!E:E)</f>
        <v>701139</v>
      </c>
      <c r="C67" s="12">
        <f>AVERAGEIF('Cleaned Data 2020 - 2024'!B:B,Calculations!A67,'Cleaned Data 2020 - 2024'!J:J)</f>
        <v>58028.4</v>
      </c>
      <c r="D67" s="24" t="str">
        <f t="shared" si="3"/>
        <v>N</v>
      </c>
    </row>
    <row r="68" spans="1:4" x14ac:dyDescent="0.3">
      <c r="A68" s="23" t="s">
        <v>125</v>
      </c>
      <c r="B68" s="11">
        <f>AVERAGEIF('Cleaned Data 2020 - 2024'!B:B,Calculations!A68,'Cleaned Data 2020 - 2024'!E:E)</f>
        <v>462136.6</v>
      </c>
      <c r="C68" s="12">
        <f>AVERAGEIF('Cleaned Data 2020 - 2024'!B:B,Calculations!A68,'Cleaned Data 2020 - 2024'!J:J)</f>
        <v>56911.8</v>
      </c>
      <c r="D68" s="24" t="str">
        <f t="shared" si="3"/>
        <v>N</v>
      </c>
    </row>
    <row r="69" spans="1:4" x14ac:dyDescent="0.3">
      <c r="A69" s="23" t="s">
        <v>109</v>
      </c>
      <c r="B69" s="11">
        <f>AVERAGEIF('Cleaned Data 2020 - 2024'!B:B,Calculations!A69,'Cleaned Data 2020 - 2024'!E:E)</f>
        <v>768963.6</v>
      </c>
      <c r="C69" s="12">
        <f>AVERAGEIF('Cleaned Data 2020 - 2024'!B:B,Calculations!A69,'Cleaned Data 2020 - 2024'!J:J)</f>
        <v>56641.2</v>
      </c>
      <c r="D69" s="24" t="str">
        <f t="shared" si="3"/>
        <v>N</v>
      </c>
    </row>
    <row r="70" spans="1:4" x14ac:dyDescent="0.3">
      <c r="A70" s="23" t="s">
        <v>66</v>
      </c>
      <c r="B70" s="11">
        <f>AVERAGEIF('Cleaned Data 2020 - 2024'!B:B,Calculations!A70,'Cleaned Data 2020 - 2024'!E:E)</f>
        <v>585274.6</v>
      </c>
      <c r="C70" s="12">
        <f>AVERAGEIF('Cleaned Data 2020 - 2024'!B:B,Calculations!A70,'Cleaned Data 2020 - 2024'!J:J)</f>
        <v>57577.8</v>
      </c>
      <c r="D70" s="24" t="str">
        <f t="shared" si="3"/>
        <v>N</v>
      </c>
    </row>
    <row r="71" spans="1:4" x14ac:dyDescent="0.3">
      <c r="A71" s="23" t="s">
        <v>108</v>
      </c>
      <c r="B71" s="11">
        <f>AVERAGEIF('Cleaned Data 2020 - 2024'!B:B,Calculations!A71,'Cleaned Data 2020 - 2024'!E:E)</f>
        <v>783789</v>
      </c>
      <c r="C71" s="12">
        <f>AVERAGEIF('Cleaned Data 2020 - 2024'!B:B,Calculations!A71,'Cleaned Data 2020 - 2024'!J:J)</f>
        <v>59007</v>
      </c>
      <c r="D71" s="24" t="str">
        <f t="shared" si="3"/>
        <v>N</v>
      </c>
    </row>
    <row r="72" spans="1:4" x14ac:dyDescent="0.3">
      <c r="A72" s="23" t="s">
        <v>83</v>
      </c>
      <c r="B72" s="11">
        <f>AVERAGEIF('Cleaned Data 2020 - 2024'!B:B,Calculations!A72,'Cleaned Data 2020 - 2024'!E:E)</f>
        <v>558745.59999999998</v>
      </c>
      <c r="C72" s="12">
        <f>AVERAGEIF('Cleaned Data 2020 - 2024'!B:B,Calculations!A72,'Cleaned Data 2020 - 2024'!J:J)</f>
        <v>58979</v>
      </c>
      <c r="D72" s="24" t="str">
        <f t="shared" si="3"/>
        <v>N</v>
      </c>
    </row>
    <row r="73" spans="1:4" x14ac:dyDescent="0.3">
      <c r="A73" s="23" t="s">
        <v>65</v>
      </c>
      <c r="B73" s="11">
        <f>AVERAGEIF('Cleaned Data 2020 - 2024'!B:B,Calculations!A73,'Cleaned Data 2020 - 2024'!E:E)</f>
        <v>827939.4</v>
      </c>
      <c r="C73" s="12">
        <f>AVERAGEIF('Cleaned Data 2020 - 2024'!B:B,Calculations!A73,'Cleaned Data 2020 - 2024'!J:J)</f>
        <v>57171.4</v>
      </c>
      <c r="D73" s="24" t="str">
        <f t="shared" si="3"/>
        <v>N</v>
      </c>
    </row>
    <row r="74" spans="1:4" x14ac:dyDescent="0.3">
      <c r="A74" s="23" t="s">
        <v>64</v>
      </c>
      <c r="B74" s="11">
        <f>AVERAGEIF('Cleaned Data 2020 - 2024'!B:B,Calculations!A74,'Cleaned Data 2020 - 2024'!E:E)</f>
        <v>822412.80000000005</v>
      </c>
      <c r="C74" s="12">
        <f>AVERAGEIF('Cleaned Data 2020 - 2024'!B:B,Calculations!A74,'Cleaned Data 2020 - 2024'!J:J)</f>
        <v>53842.400000000001</v>
      </c>
      <c r="D74" s="24" t="str">
        <f t="shared" si="3"/>
        <v>Y</v>
      </c>
    </row>
    <row r="75" spans="1:4" x14ac:dyDescent="0.3">
      <c r="A75" s="23" t="s">
        <v>76</v>
      </c>
      <c r="B75" s="11">
        <f>AVERAGEIF('Cleaned Data 2020 - 2024'!B:B,Calculations!A75,'Cleaned Data 2020 - 2024'!E:E)</f>
        <v>613140.80000000005</v>
      </c>
      <c r="C75" s="12">
        <f>AVERAGEIF('Cleaned Data 2020 - 2024'!B:B,Calculations!A75,'Cleaned Data 2020 - 2024'!J:J)</f>
        <v>59166.8</v>
      </c>
      <c r="D75" s="24" t="str">
        <f t="shared" si="3"/>
        <v>N</v>
      </c>
    </row>
    <row r="76" spans="1:4" x14ac:dyDescent="0.3">
      <c r="A76" s="23" t="s">
        <v>107</v>
      </c>
      <c r="B76" s="11">
        <f>AVERAGEIF('Cleaned Data 2020 - 2024'!B:B,Calculations!A76,'Cleaned Data 2020 - 2024'!E:E)</f>
        <v>679464.8</v>
      </c>
      <c r="C76" s="12">
        <f>AVERAGEIF('Cleaned Data 2020 - 2024'!B:B,Calculations!A76,'Cleaned Data 2020 - 2024'!J:J)</f>
        <v>58977.599999999999</v>
      </c>
      <c r="D76" s="24" t="str">
        <f t="shared" si="3"/>
        <v>N</v>
      </c>
    </row>
    <row r="77" spans="1:4" x14ac:dyDescent="0.3">
      <c r="A77" s="23" t="s">
        <v>69</v>
      </c>
      <c r="B77" s="11">
        <f>AVERAGEIF('Cleaned Data 2020 - 2024'!B:B,Calculations!A77,'Cleaned Data 2020 - 2024'!E:E)</f>
        <v>531488.19999999995</v>
      </c>
      <c r="C77" s="12">
        <f>AVERAGEIF('Cleaned Data 2020 - 2024'!B:B,Calculations!A77,'Cleaned Data 2020 - 2024'!J:J)</f>
        <v>57098</v>
      </c>
      <c r="D77" s="24" t="str">
        <f t="shared" si="3"/>
        <v>N</v>
      </c>
    </row>
    <row r="78" spans="1:4" x14ac:dyDescent="0.3">
      <c r="A78" s="23" t="s">
        <v>101</v>
      </c>
      <c r="B78" s="11">
        <f>AVERAGEIF('Cleaned Data 2020 - 2024'!B:B,Calculations!A78,'Cleaned Data 2020 - 2024'!E:E)</f>
        <v>446076.4</v>
      </c>
      <c r="C78" s="12">
        <f>AVERAGEIF('Cleaned Data 2020 - 2024'!B:B,Calculations!A78,'Cleaned Data 2020 - 2024'!J:J)</f>
        <v>54586.8</v>
      </c>
      <c r="D78" s="24" t="str">
        <f t="shared" si="3"/>
        <v>Y</v>
      </c>
    </row>
    <row r="79" spans="1:4" x14ac:dyDescent="0.3">
      <c r="A79" s="23" t="s">
        <v>71</v>
      </c>
      <c r="B79" s="11">
        <f>AVERAGEIF('Cleaned Data 2020 - 2024'!B:B,Calculations!A79,'Cleaned Data 2020 - 2024'!E:E)</f>
        <v>617161.80000000005</v>
      </c>
      <c r="C79" s="12">
        <f>AVERAGEIF('Cleaned Data 2020 - 2024'!B:B,Calculations!A79,'Cleaned Data 2020 - 2024'!J:J)</f>
        <v>58298.400000000001</v>
      </c>
      <c r="D79" s="24" t="str">
        <f t="shared" ref="D79:D142" si="4">IF(C79&lt;$H$2,"Y","N")</f>
        <v>N</v>
      </c>
    </row>
    <row r="80" spans="1:4" x14ac:dyDescent="0.3">
      <c r="A80" s="23" t="s">
        <v>118</v>
      </c>
      <c r="B80" s="11">
        <f>AVERAGEIF('Cleaned Data 2020 - 2024'!B:B,Calculations!A80,'Cleaned Data 2020 - 2024'!E:E)</f>
        <v>674949.2</v>
      </c>
      <c r="C80" s="12">
        <f>AVERAGEIF('Cleaned Data 2020 - 2024'!B:B,Calculations!A80,'Cleaned Data 2020 - 2024'!J:J)</f>
        <v>56332.800000000003</v>
      </c>
      <c r="D80" s="24" t="str">
        <f t="shared" si="4"/>
        <v>Y</v>
      </c>
    </row>
    <row r="81" spans="1:4" x14ac:dyDescent="0.3">
      <c r="A81" s="23" t="s">
        <v>116</v>
      </c>
      <c r="B81" s="11">
        <f>AVERAGEIF('Cleaned Data 2020 - 2024'!B:B,Calculations!A81,'Cleaned Data 2020 - 2024'!E:E)</f>
        <v>640562.19999999995</v>
      </c>
      <c r="C81" s="12">
        <f>AVERAGEIF('Cleaned Data 2020 - 2024'!B:B,Calculations!A81,'Cleaned Data 2020 - 2024'!J:J)</f>
        <v>74573.75</v>
      </c>
      <c r="D81" s="24" t="str">
        <f t="shared" si="4"/>
        <v>N</v>
      </c>
    </row>
    <row r="82" spans="1:4" x14ac:dyDescent="0.3">
      <c r="A82" s="23" t="s">
        <v>70</v>
      </c>
      <c r="B82" s="11">
        <f>AVERAGEIF('Cleaned Data 2020 - 2024'!B:B,Calculations!A82,'Cleaned Data 2020 - 2024'!E:E)</f>
        <v>591899.4</v>
      </c>
      <c r="C82" s="12">
        <f>AVERAGEIF('Cleaned Data 2020 - 2024'!B:B,Calculations!A82,'Cleaned Data 2020 - 2024'!J:J)</f>
        <v>60764.6</v>
      </c>
      <c r="D82" s="24" t="str">
        <f t="shared" si="4"/>
        <v>N</v>
      </c>
    </row>
    <row r="83" spans="1:4" x14ac:dyDescent="0.3">
      <c r="A83" s="23" t="s">
        <v>126</v>
      </c>
      <c r="B83" s="11">
        <f>AVERAGEIF('Cleaned Data 2020 - 2024'!B:B,Calculations!A83,'Cleaned Data 2020 - 2024'!E:E)</f>
        <v>369676.25</v>
      </c>
      <c r="C83" s="12">
        <f>AVERAGEIF('Cleaned Data 2020 - 2024'!B:B,Calculations!A83,'Cleaned Data 2020 - 2024'!J:J)</f>
        <v>53261</v>
      </c>
      <c r="D83" s="24" t="str">
        <f t="shared" si="4"/>
        <v>Y</v>
      </c>
    </row>
    <row r="84" spans="1:4" x14ac:dyDescent="0.3">
      <c r="A84" s="23" t="s">
        <v>102</v>
      </c>
      <c r="B84" s="11">
        <f>AVERAGEIF('Cleaned Data 2020 - 2024'!B:B,Calculations!A84,'Cleaned Data 2020 - 2024'!E:E)</f>
        <v>692286.8</v>
      </c>
      <c r="C84" s="12">
        <f>AVERAGEIF('Cleaned Data 2020 - 2024'!B:B,Calculations!A84,'Cleaned Data 2020 - 2024'!J:J)</f>
        <v>58401.599999999999</v>
      </c>
      <c r="D84" s="24" t="str">
        <f t="shared" si="4"/>
        <v>N</v>
      </c>
    </row>
    <row r="85" spans="1:4" x14ac:dyDescent="0.3">
      <c r="A85" s="23" t="s">
        <v>82</v>
      </c>
      <c r="B85" s="11">
        <f>AVERAGEIF('Cleaned Data 2020 - 2024'!B:B,Calculations!A85,'Cleaned Data 2020 - 2024'!E:E)</f>
        <v>747150.8</v>
      </c>
      <c r="C85" s="12">
        <f>AVERAGEIF('Cleaned Data 2020 - 2024'!B:B,Calculations!A85,'Cleaned Data 2020 - 2024'!J:J)</f>
        <v>59726.8</v>
      </c>
      <c r="D85" s="24" t="str">
        <f t="shared" si="4"/>
        <v>N</v>
      </c>
    </row>
    <row r="86" spans="1:4" x14ac:dyDescent="0.3">
      <c r="A86" s="23" t="s">
        <v>96</v>
      </c>
      <c r="B86" s="11">
        <f>AVERAGEIF('Cleaned Data 2020 - 2024'!B:B,Calculations!A86,'Cleaned Data 2020 - 2024'!E:E)</f>
        <v>434476.79999999999</v>
      </c>
      <c r="C86" s="12">
        <f>AVERAGEIF('Cleaned Data 2020 - 2024'!B:B,Calculations!A86,'Cleaned Data 2020 - 2024'!J:J)</f>
        <v>59356.6</v>
      </c>
      <c r="D86" s="24" t="str">
        <f t="shared" si="4"/>
        <v>N</v>
      </c>
    </row>
    <row r="87" spans="1:4" x14ac:dyDescent="0.3">
      <c r="A87" s="23" t="s">
        <v>77</v>
      </c>
      <c r="B87" s="11">
        <f>AVERAGEIF('Cleaned Data 2020 - 2024'!B:B,Calculations!A87,'Cleaned Data 2020 - 2024'!E:E)</f>
        <v>670706</v>
      </c>
      <c r="C87" s="12">
        <f>AVERAGEIF('Cleaned Data 2020 - 2024'!B:B,Calculations!A87,'Cleaned Data 2020 - 2024'!J:J)</f>
        <v>58426</v>
      </c>
      <c r="D87" s="24" t="str">
        <f t="shared" si="4"/>
        <v>N</v>
      </c>
    </row>
    <row r="88" spans="1:4" x14ac:dyDescent="0.3">
      <c r="A88" s="23" t="s">
        <v>122</v>
      </c>
      <c r="B88" s="11">
        <f>AVERAGEIF('Cleaned Data 2020 - 2024'!B:B,Calculations!A88,'Cleaned Data 2020 - 2024'!E:E)</f>
        <v>759000.8</v>
      </c>
      <c r="C88" s="12">
        <f>AVERAGEIF('Cleaned Data 2020 - 2024'!B:B,Calculations!A88,'Cleaned Data 2020 - 2024'!J:J)</f>
        <v>58898.400000000001</v>
      </c>
      <c r="D88" s="24" t="str">
        <f t="shared" si="4"/>
        <v>N</v>
      </c>
    </row>
    <row r="89" spans="1:4" x14ac:dyDescent="0.3">
      <c r="A89" s="23" t="s">
        <v>185</v>
      </c>
      <c r="B89" s="11">
        <f>AVERAGEIF('Cleaned Data 2020 - 2024'!B:B,Calculations!A89,'Cleaned Data 2020 - 2024'!E:E)</f>
        <v>886301.6</v>
      </c>
      <c r="C89" s="12">
        <f>AVERAGEIF('Cleaned Data 2020 - 2024'!B:B,Calculations!A89,'Cleaned Data 2020 - 2024'!J:J)</f>
        <v>48112</v>
      </c>
      <c r="D89" s="24" t="str">
        <f t="shared" si="4"/>
        <v>Y</v>
      </c>
    </row>
    <row r="90" spans="1:4" x14ac:dyDescent="0.3">
      <c r="A90" s="23" t="s">
        <v>80</v>
      </c>
      <c r="B90" s="11">
        <f>AVERAGEIF('Cleaned Data 2020 - 2024'!B:B,Calculations!A90,'Cleaned Data 2020 - 2024'!E:E)</f>
        <v>758432.4</v>
      </c>
      <c r="C90" s="12">
        <f>AVERAGEIF('Cleaned Data 2020 - 2024'!B:B,Calculations!A90,'Cleaned Data 2020 - 2024'!J:J)</f>
        <v>74606.8</v>
      </c>
      <c r="D90" s="24" t="str">
        <f t="shared" si="4"/>
        <v>N</v>
      </c>
    </row>
    <row r="91" spans="1:4" x14ac:dyDescent="0.3">
      <c r="A91" s="23" t="s">
        <v>81</v>
      </c>
      <c r="B91" s="11">
        <f>AVERAGEIF('Cleaned Data 2020 - 2024'!B:B,Calculations!A91,'Cleaned Data 2020 - 2024'!E:E)</f>
        <v>660444</v>
      </c>
      <c r="C91" s="12">
        <f>AVERAGEIF('Cleaned Data 2020 - 2024'!B:B,Calculations!A91,'Cleaned Data 2020 - 2024'!J:J)</f>
        <v>50463.75</v>
      </c>
      <c r="D91" s="24" t="str">
        <f t="shared" si="4"/>
        <v>Y</v>
      </c>
    </row>
    <row r="92" spans="1:4" x14ac:dyDescent="0.3">
      <c r="A92" s="23" t="s">
        <v>120</v>
      </c>
      <c r="B92" s="11">
        <f>AVERAGEIF('Cleaned Data 2020 - 2024'!B:B,Calculations!A92,'Cleaned Data 2020 - 2024'!E:E)</f>
        <v>606007.80000000005</v>
      </c>
      <c r="C92" s="12">
        <f>AVERAGEIF('Cleaned Data 2020 - 2024'!B:B,Calculations!A92,'Cleaned Data 2020 - 2024'!J:J)</f>
        <v>58209.599999999999</v>
      </c>
      <c r="D92" s="24" t="str">
        <f t="shared" si="4"/>
        <v>N</v>
      </c>
    </row>
    <row r="93" spans="1:4" x14ac:dyDescent="0.3">
      <c r="A93" s="23" t="s">
        <v>79</v>
      </c>
      <c r="B93" s="11">
        <f>AVERAGEIF('Cleaned Data 2020 - 2024'!B:B,Calculations!A93,'Cleaned Data 2020 - 2024'!E:E)</f>
        <v>753943.8</v>
      </c>
      <c r="C93" s="12">
        <f>AVERAGEIF('Cleaned Data 2020 - 2024'!B:B,Calculations!A93,'Cleaned Data 2020 - 2024'!J:J)</f>
        <v>59398.8</v>
      </c>
      <c r="D93" s="24" t="str">
        <f t="shared" si="4"/>
        <v>N</v>
      </c>
    </row>
    <row r="94" spans="1:4" x14ac:dyDescent="0.3">
      <c r="A94" s="23" t="s">
        <v>94</v>
      </c>
      <c r="B94" s="11">
        <f>AVERAGEIF('Cleaned Data 2020 - 2024'!B:B,Calculations!A94,'Cleaned Data 2020 - 2024'!E:E)</f>
        <v>547058.80000000005</v>
      </c>
      <c r="C94" s="12">
        <f>AVERAGEIF('Cleaned Data 2020 - 2024'!B:B,Calculations!A94,'Cleaned Data 2020 - 2024'!J:J)</f>
        <v>58100.6</v>
      </c>
      <c r="D94" s="24" t="str">
        <f t="shared" si="4"/>
        <v>N</v>
      </c>
    </row>
    <row r="95" spans="1:4" x14ac:dyDescent="0.3">
      <c r="A95" s="23" t="s">
        <v>93</v>
      </c>
      <c r="B95" s="11">
        <f>AVERAGEIF('Cleaned Data 2020 - 2024'!B:B,Calculations!A95,'Cleaned Data 2020 - 2024'!E:E)</f>
        <v>603124</v>
      </c>
      <c r="C95" s="12">
        <f>AVERAGEIF('Cleaned Data 2020 - 2024'!B:B,Calculations!A95,'Cleaned Data 2020 - 2024'!J:J)</f>
        <v>59041.8</v>
      </c>
      <c r="D95" s="24" t="str">
        <f t="shared" si="4"/>
        <v>N</v>
      </c>
    </row>
    <row r="96" spans="1:4" x14ac:dyDescent="0.3">
      <c r="A96" s="23" t="s">
        <v>171</v>
      </c>
      <c r="B96" s="11">
        <f>AVERAGEIF('Cleaned Data 2020 - 2024'!B:B,Calculations!A96,'Cleaned Data 2020 - 2024'!E:E)</f>
        <v>445767.4</v>
      </c>
      <c r="C96" s="12">
        <f>AVERAGEIF('Cleaned Data 2020 - 2024'!B:B,Calculations!A96,'Cleaned Data 2020 - 2024'!J:J)</f>
        <v>58354.400000000001</v>
      </c>
      <c r="D96" s="24" t="str">
        <f t="shared" si="4"/>
        <v>N</v>
      </c>
    </row>
    <row r="97" spans="1:4" x14ac:dyDescent="0.3">
      <c r="A97" s="23" t="s">
        <v>175</v>
      </c>
      <c r="B97" s="11">
        <f>AVERAGEIF('Cleaned Data 2020 - 2024'!B:B,Calculations!A97,'Cleaned Data 2020 - 2024'!E:E)</f>
        <v>359325.4</v>
      </c>
      <c r="C97" s="12">
        <f>AVERAGEIF('Cleaned Data 2020 - 2024'!B:B,Calculations!A97,'Cleaned Data 2020 - 2024'!J:J)</f>
        <v>56340.6</v>
      </c>
      <c r="D97" s="24" t="str">
        <f t="shared" si="4"/>
        <v>Y</v>
      </c>
    </row>
    <row r="98" spans="1:4" x14ac:dyDescent="0.3">
      <c r="A98" s="23" t="s">
        <v>190</v>
      </c>
      <c r="B98" s="11">
        <f>AVERAGEIF('Cleaned Data 2020 - 2024'!B:B,Calculations!A98,'Cleaned Data 2020 - 2024'!E:E)</f>
        <v>623510.5</v>
      </c>
      <c r="C98" s="12">
        <f>AVERAGEIF('Cleaned Data 2020 - 2024'!B:B,Calculations!A98,'Cleaned Data 2020 - 2024'!J:J)</f>
        <v>86568</v>
      </c>
      <c r="D98" s="24" t="str">
        <f t="shared" si="4"/>
        <v>N</v>
      </c>
    </row>
    <row r="99" spans="1:4" x14ac:dyDescent="0.3">
      <c r="A99" s="23" t="s">
        <v>159</v>
      </c>
      <c r="B99" s="11">
        <f>AVERAGEIF('Cleaned Data 2020 - 2024'!B:B,Calculations!A99,'Cleaned Data 2020 - 2024'!E:E)</f>
        <v>385926.25</v>
      </c>
      <c r="C99" s="12">
        <f>AVERAGEIF('Cleaned Data 2020 - 2024'!B:B,Calculations!A99,'Cleaned Data 2020 - 2024'!J:J)</f>
        <v>63680.5</v>
      </c>
      <c r="D99" s="24" t="str">
        <f t="shared" si="4"/>
        <v>N</v>
      </c>
    </row>
    <row r="100" spans="1:4" x14ac:dyDescent="0.3">
      <c r="A100" s="23" t="s">
        <v>100</v>
      </c>
      <c r="B100" s="11">
        <f>AVERAGEIF('Cleaned Data 2020 - 2024'!B:B,Calculations!A100,'Cleaned Data 2020 - 2024'!E:E)</f>
        <v>639778.5</v>
      </c>
      <c r="C100" s="12">
        <f>AVERAGEIF('Cleaned Data 2020 - 2024'!B:B,Calculations!A100,'Cleaned Data 2020 - 2024'!J:J)</f>
        <v>48954</v>
      </c>
      <c r="D100" s="24" t="str">
        <f t="shared" si="4"/>
        <v>Y</v>
      </c>
    </row>
    <row r="101" spans="1:4" x14ac:dyDescent="0.3">
      <c r="A101" s="23" t="s">
        <v>113</v>
      </c>
      <c r="B101" s="11">
        <f>AVERAGEIF('Cleaned Data 2020 - 2024'!B:B,Calculations!A101,'Cleaned Data 2020 - 2024'!E:E)</f>
        <v>608698</v>
      </c>
      <c r="C101" s="12">
        <f>AVERAGEIF('Cleaned Data 2020 - 2024'!B:B,Calculations!A101,'Cleaned Data 2020 - 2024'!J:J)</f>
        <v>95387</v>
      </c>
      <c r="D101" s="24" t="str">
        <f t="shared" si="4"/>
        <v>N</v>
      </c>
    </row>
    <row r="102" spans="1:4" x14ac:dyDescent="0.3">
      <c r="A102" s="23" t="s">
        <v>134</v>
      </c>
      <c r="B102" s="11">
        <f>AVERAGEIF('Cleaned Data 2020 - 2024'!B:B,Calculations!A102,'Cleaned Data 2020 - 2024'!E:E)</f>
        <v>453851</v>
      </c>
      <c r="C102" s="12">
        <f>AVERAGEIF('Cleaned Data 2020 - 2024'!B:B,Calculations!A102,'Cleaned Data 2020 - 2024'!J:J)</f>
        <v>57370.2</v>
      </c>
      <c r="D102" s="24" t="str">
        <f t="shared" si="4"/>
        <v>N</v>
      </c>
    </row>
    <row r="103" spans="1:4" x14ac:dyDescent="0.3">
      <c r="A103" s="23" t="s">
        <v>141</v>
      </c>
      <c r="B103" s="11">
        <f>AVERAGEIF('Cleaned Data 2020 - 2024'!B:B,Calculations!A103,'Cleaned Data 2020 - 2024'!E:E)</f>
        <v>385366.6</v>
      </c>
      <c r="C103" s="12">
        <f>AVERAGEIF('Cleaned Data 2020 - 2024'!B:B,Calculations!A103,'Cleaned Data 2020 - 2024'!J:J)</f>
        <v>54973.8</v>
      </c>
      <c r="D103" s="24" t="str">
        <f t="shared" si="4"/>
        <v>Y</v>
      </c>
    </row>
    <row r="104" spans="1:4" x14ac:dyDescent="0.3">
      <c r="A104" s="23" t="s">
        <v>95</v>
      </c>
      <c r="B104" s="11">
        <f>AVERAGEIF('Cleaned Data 2020 - 2024'!B:B,Calculations!A104,'Cleaned Data 2020 - 2024'!E:E)</f>
        <v>741818.33333333337</v>
      </c>
      <c r="C104" s="12">
        <f>AVERAGEIF('Cleaned Data 2020 - 2024'!B:B,Calculations!A104,'Cleaned Data 2020 - 2024'!J:J)</f>
        <v>59267</v>
      </c>
      <c r="D104" s="24" t="str">
        <f t="shared" si="4"/>
        <v>N</v>
      </c>
    </row>
    <row r="105" spans="1:4" x14ac:dyDescent="0.3">
      <c r="A105" s="23" t="s">
        <v>104</v>
      </c>
      <c r="B105" s="11">
        <f>AVERAGEIF('Cleaned Data 2020 - 2024'!B:B,Calculations!A105,'Cleaned Data 2020 - 2024'!E:E)</f>
        <v>663896</v>
      </c>
      <c r="C105" s="12">
        <f>AVERAGEIF('Cleaned Data 2020 - 2024'!B:B,Calculations!A105,'Cleaned Data 2020 - 2024'!J:J)</f>
        <v>56688.800000000003</v>
      </c>
      <c r="D105" s="24" t="str">
        <f t="shared" si="4"/>
        <v>N</v>
      </c>
    </row>
    <row r="106" spans="1:4" x14ac:dyDescent="0.3">
      <c r="A106" s="23" t="s">
        <v>88</v>
      </c>
      <c r="B106" s="11">
        <f>AVERAGEIF('Cleaned Data 2020 - 2024'!B:B,Calculations!A106,'Cleaned Data 2020 - 2024'!E:E)</f>
        <v>641955</v>
      </c>
      <c r="C106" s="12">
        <f>AVERAGEIF('Cleaned Data 2020 - 2024'!B:B,Calculations!A106,'Cleaned Data 2020 - 2024'!J:J)</f>
        <v>64373</v>
      </c>
      <c r="D106" s="24" t="str">
        <f t="shared" si="4"/>
        <v>N</v>
      </c>
    </row>
    <row r="107" spans="1:4" x14ac:dyDescent="0.3">
      <c r="A107" s="23" t="s">
        <v>154</v>
      </c>
      <c r="B107" s="11">
        <f>AVERAGEIF('Cleaned Data 2020 - 2024'!B:B,Calculations!A107,'Cleaned Data 2020 - 2024'!E:E)</f>
        <v>719150.2</v>
      </c>
      <c r="C107" s="12">
        <f>AVERAGEIF('Cleaned Data 2020 - 2024'!B:B,Calculations!A107,'Cleaned Data 2020 - 2024'!J:J)</f>
        <v>60305.8</v>
      </c>
      <c r="D107" s="24" t="str">
        <f t="shared" si="4"/>
        <v>N</v>
      </c>
    </row>
    <row r="108" spans="1:4" x14ac:dyDescent="0.3">
      <c r="A108" s="23" t="s">
        <v>112</v>
      </c>
      <c r="B108" s="11">
        <f>AVERAGEIF('Cleaned Data 2020 - 2024'!B:B,Calculations!A108,'Cleaned Data 2020 - 2024'!E:E)</f>
        <v>524342.4</v>
      </c>
      <c r="C108" s="12">
        <f>AVERAGEIF('Cleaned Data 2020 - 2024'!B:B,Calculations!A108,'Cleaned Data 2020 - 2024'!J:J)</f>
        <v>57172</v>
      </c>
      <c r="D108" s="24" t="str">
        <f t="shared" si="4"/>
        <v>N</v>
      </c>
    </row>
    <row r="109" spans="1:4" x14ac:dyDescent="0.3">
      <c r="A109" s="23" t="s">
        <v>153</v>
      </c>
      <c r="B109" s="11">
        <f>AVERAGEIF('Cleaned Data 2020 - 2024'!B:B,Calculations!A109,'Cleaned Data 2020 - 2024'!E:E)</f>
        <v>391082.2</v>
      </c>
      <c r="C109" s="12">
        <f>AVERAGEIF('Cleaned Data 2020 - 2024'!B:B,Calculations!A109,'Cleaned Data 2020 - 2024'!J:J)</f>
        <v>58312</v>
      </c>
      <c r="D109" s="24" t="str">
        <f t="shared" si="4"/>
        <v>N</v>
      </c>
    </row>
    <row r="110" spans="1:4" x14ac:dyDescent="0.3">
      <c r="A110" s="23" t="s">
        <v>37</v>
      </c>
      <c r="B110" s="11">
        <f>AVERAGEIF('Cleaned Data 2020 - 2024'!B:B,Calculations!A110,'Cleaned Data 2020 - 2024'!E:E)</f>
        <v>197540</v>
      </c>
      <c r="C110" s="12">
        <f>AVERAGEIF('Cleaned Data 2020 - 2024'!B:B,Calculations!A110,'Cleaned Data 2020 - 2024'!J:J)</f>
        <v>57758</v>
      </c>
      <c r="D110" s="24" t="str">
        <f t="shared" si="4"/>
        <v>N</v>
      </c>
    </row>
    <row r="111" spans="1:4" x14ac:dyDescent="0.3">
      <c r="A111" s="23" t="s">
        <v>86</v>
      </c>
      <c r="B111" s="11">
        <f>AVERAGEIF('Cleaned Data 2020 - 2024'!B:B,Calculations!A111,'Cleaned Data 2020 - 2024'!E:E)</f>
        <v>600961.6</v>
      </c>
      <c r="C111" s="12">
        <f>AVERAGEIF('Cleaned Data 2020 - 2024'!B:B,Calculations!A111,'Cleaned Data 2020 - 2024'!J:J)</f>
        <v>57422.8</v>
      </c>
      <c r="D111" s="24" t="str">
        <f t="shared" si="4"/>
        <v>N</v>
      </c>
    </row>
    <row r="112" spans="1:4" x14ac:dyDescent="0.3">
      <c r="A112" s="23" t="s">
        <v>162</v>
      </c>
      <c r="B112" s="11">
        <f>AVERAGEIF('Cleaned Data 2020 - 2024'!B:B,Calculations!A112,'Cleaned Data 2020 - 2024'!E:E)</f>
        <v>381581</v>
      </c>
      <c r="C112" s="12">
        <f>AVERAGEIF('Cleaned Data 2020 - 2024'!B:B,Calculations!A112,'Cleaned Data 2020 - 2024'!J:J)</f>
        <v>56708.800000000003</v>
      </c>
      <c r="D112" s="24" t="str">
        <f t="shared" si="4"/>
        <v>N</v>
      </c>
    </row>
    <row r="113" spans="1:4" x14ac:dyDescent="0.3">
      <c r="A113" s="23" t="s">
        <v>170</v>
      </c>
      <c r="B113" s="11">
        <f>AVERAGEIF('Cleaned Data 2020 - 2024'!B:B,Calculations!A113,'Cleaned Data 2020 - 2024'!E:E)</f>
        <v>329885</v>
      </c>
      <c r="C113" s="12">
        <f>AVERAGEIF('Cleaned Data 2020 - 2024'!B:B,Calculations!A113,'Cleaned Data 2020 - 2024'!J:J)</f>
        <v>55795</v>
      </c>
      <c r="D113" s="24" t="str">
        <f t="shared" si="4"/>
        <v>Y</v>
      </c>
    </row>
    <row r="114" spans="1:4" x14ac:dyDescent="0.3">
      <c r="A114" s="23" t="s">
        <v>164</v>
      </c>
      <c r="B114" s="11">
        <f>AVERAGEIF('Cleaned Data 2020 - 2024'!B:B,Calculations!A114,'Cleaned Data 2020 - 2024'!E:E)</f>
        <v>188669.8</v>
      </c>
      <c r="C114" s="12">
        <f>AVERAGEIF('Cleaned Data 2020 - 2024'!B:B,Calculations!A114,'Cleaned Data 2020 - 2024'!J:J)</f>
        <v>54128.6</v>
      </c>
      <c r="D114" s="24" t="str">
        <f t="shared" si="4"/>
        <v>Y</v>
      </c>
    </row>
    <row r="115" spans="1:4" x14ac:dyDescent="0.3">
      <c r="A115" s="23" t="s">
        <v>119</v>
      </c>
      <c r="B115" s="11">
        <f>AVERAGEIF('Cleaned Data 2020 - 2024'!B:B,Calculations!A115,'Cleaned Data 2020 - 2024'!E:E)</f>
        <v>522379.4</v>
      </c>
      <c r="C115" s="12">
        <f>AVERAGEIF('Cleaned Data 2020 - 2024'!B:B,Calculations!A115,'Cleaned Data 2020 - 2024'!J:J)</f>
        <v>52429.4</v>
      </c>
      <c r="D115" s="24" t="str">
        <f t="shared" si="4"/>
        <v>Y</v>
      </c>
    </row>
    <row r="116" spans="1:4" x14ac:dyDescent="0.3">
      <c r="A116" s="23" t="s">
        <v>115</v>
      </c>
      <c r="B116" s="11">
        <f>AVERAGEIF('Cleaned Data 2020 - 2024'!B:B,Calculations!A116,'Cleaned Data 2020 - 2024'!E:E)</f>
        <v>629484.80000000005</v>
      </c>
      <c r="C116" s="12">
        <f>AVERAGEIF('Cleaned Data 2020 - 2024'!B:B,Calculations!A116,'Cleaned Data 2020 - 2024'!J:J)</f>
        <v>59522.400000000001</v>
      </c>
      <c r="D116" s="24" t="str">
        <f t="shared" si="4"/>
        <v>N</v>
      </c>
    </row>
    <row r="117" spans="1:4" x14ac:dyDescent="0.3">
      <c r="A117" s="23" t="s">
        <v>165</v>
      </c>
      <c r="B117" s="11">
        <f>AVERAGEIF('Cleaned Data 2020 - 2024'!B:B,Calculations!A117,'Cleaned Data 2020 - 2024'!E:E)</f>
        <v>419648.4</v>
      </c>
      <c r="C117" s="12">
        <f>AVERAGEIF('Cleaned Data 2020 - 2024'!B:B,Calculations!A117,'Cleaned Data 2020 - 2024'!J:J)</f>
        <v>57980.4</v>
      </c>
      <c r="D117" s="24" t="str">
        <f t="shared" si="4"/>
        <v>N</v>
      </c>
    </row>
    <row r="118" spans="1:4" x14ac:dyDescent="0.3">
      <c r="A118" s="23" t="s">
        <v>129</v>
      </c>
      <c r="B118" s="11">
        <f>AVERAGEIF('Cleaned Data 2020 - 2024'!B:B,Calculations!A118,'Cleaned Data 2020 - 2024'!E:E)</f>
        <v>448737.2</v>
      </c>
      <c r="C118" s="12">
        <f>AVERAGEIF('Cleaned Data 2020 - 2024'!B:B,Calculations!A118,'Cleaned Data 2020 - 2024'!J:J)</f>
        <v>53647.8</v>
      </c>
      <c r="D118" s="24" t="str">
        <f t="shared" si="4"/>
        <v>Y</v>
      </c>
    </row>
    <row r="119" spans="1:4" x14ac:dyDescent="0.3">
      <c r="A119" s="23" t="s">
        <v>163</v>
      </c>
      <c r="B119" s="11">
        <f>AVERAGEIF('Cleaned Data 2020 - 2024'!B:B,Calculations!A119,'Cleaned Data 2020 - 2024'!E:E)</f>
        <v>641045.4</v>
      </c>
      <c r="C119" s="12">
        <f>AVERAGEIF('Cleaned Data 2020 - 2024'!B:B,Calculations!A119,'Cleaned Data 2020 - 2024'!J:J)</f>
        <v>58766.2</v>
      </c>
      <c r="D119" s="24" t="str">
        <f t="shared" si="4"/>
        <v>N</v>
      </c>
    </row>
    <row r="120" spans="1:4" x14ac:dyDescent="0.3">
      <c r="A120" s="23" t="s">
        <v>133</v>
      </c>
      <c r="B120" s="11">
        <f>AVERAGEIF('Cleaned Data 2020 - 2024'!B:B,Calculations!A120,'Cleaned Data 2020 - 2024'!E:E)</f>
        <v>615471</v>
      </c>
      <c r="C120" s="12">
        <f>AVERAGEIF('Cleaned Data 2020 - 2024'!B:B,Calculations!A120,'Cleaned Data 2020 - 2024'!J:J)</f>
        <v>57970</v>
      </c>
      <c r="D120" s="24" t="str">
        <f t="shared" si="4"/>
        <v>N</v>
      </c>
    </row>
    <row r="121" spans="1:4" x14ac:dyDescent="0.3">
      <c r="A121" s="23" t="s">
        <v>132</v>
      </c>
      <c r="B121" s="11">
        <f>AVERAGEIF('Cleaned Data 2020 - 2024'!B:B,Calculations!A121,'Cleaned Data 2020 - 2024'!E:E)</f>
        <v>581573.80000000005</v>
      </c>
      <c r="C121" s="12">
        <f>AVERAGEIF('Cleaned Data 2020 - 2024'!B:B,Calculations!A121,'Cleaned Data 2020 - 2024'!J:J)</f>
        <v>57638.8</v>
      </c>
      <c r="D121" s="24" t="str">
        <f t="shared" si="4"/>
        <v>N</v>
      </c>
    </row>
    <row r="122" spans="1:4" x14ac:dyDescent="0.3">
      <c r="A122" s="23" t="s">
        <v>123</v>
      </c>
      <c r="B122" s="11">
        <f>AVERAGEIF('Cleaned Data 2020 - 2024'!B:B,Calculations!A122,'Cleaned Data 2020 - 2024'!E:E)</f>
        <v>618566.6</v>
      </c>
      <c r="C122" s="12">
        <f>AVERAGEIF('Cleaned Data 2020 - 2024'!B:B,Calculations!A122,'Cleaned Data 2020 - 2024'!J:J)</f>
        <v>59412.2</v>
      </c>
      <c r="D122" s="24" t="str">
        <f t="shared" si="4"/>
        <v>N</v>
      </c>
    </row>
    <row r="123" spans="1:4" x14ac:dyDescent="0.3">
      <c r="A123" s="23" t="s">
        <v>172</v>
      </c>
      <c r="B123" s="11">
        <f>AVERAGEIF('Cleaned Data 2020 - 2024'!B:B,Calculations!A123,'Cleaned Data 2020 - 2024'!E:E)</f>
        <v>291916.40000000002</v>
      </c>
      <c r="C123" s="12">
        <f>AVERAGEIF('Cleaned Data 2020 - 2024'!B:B,Calculations!A123,'Cleaned Data 2020 - 2024'!J:J)</f>
        <v>57256.2</v>
      </c>
      <c r="D123" s="24" t="str">
        <f t="shared" si="4"/>
        <v>N</v>
      </c>
    </row>
    <row r="124" spans="1:4" x14ac:dyDescent="0.3">
      <c r="A124" s="23" t="s">
        <v>189</v>
      </c>
      <c r="B124" s="11">
        <f>AVERAGEIF('Cleaned Data 2020 - 2024'!B:B,Calculations!A124,'Cleaned Data 2020 - 2024'!E:E)</f>
        <v>285693.59999999998</v>
      </c>
      <c r="C124" s="12">
        <f>AVERAGEIF('Cleaned Data 2020 - 2024'!B:B,Calculations!A124,'Cleaned Data 2020 - 2024'!J:J)</f>
        <v>53529.599999999999</v>
      </c>
      <c r="D124" s="24" t="str">
        <f t="shared" si="4"/>
        <v>Y</v>
      </c>
    </row>
    <row r="125" spans="1:4" x14ac:dyDescent="0.3">
      <c r="A125" s="23" t="s">
        <v>158</v>
      </c>
      <c r="B125" s="11">
        <f>AVERAGEIF('Cleaned Data 2020 - 2024'!B:B,Calculations!A125,'Cleaned Data 2020 - 2024'!E:E)</f>
        <v>301004</v>
      </c>
      <c r="C125" s="12">
        <f>AVERAGEIF('Cleaned Data 2020 - 2024'!B:B,Calculations!A125,'Cleaned Data 2020 - 2024'!J:J)</f>
        <v>57481.4</v>
      </c>
      <c r="D125" s="24" t="str">
        <f t="shared" si="4"/>
        <v>N</v>
      </c>
    </row>
    <row r="126" spans="1:4" x14ac:dyDescent="0.3">
      <c r="A126" s="23" t="s">
        <v>97</v>
      </c>
      <c r="B126" s="11">
        <f>AVERAGEIF('Cleaned Data 2020 - 2024'!B:B,Calculations!A126,'Cleaned Data 2020 - 2024'!E:E)</f>
        <v>451667.6</v>
      </c>
      <c r="C126" s="12">
        <f>AVERAGEIF('Cleaned Data 2020 - 2024'!B:B,Calculations!A126,'Cleaned Data 2020 - 2024'!J:J)</f>
        <v>58274.8</v>
      </c>
      <c r="D126" s="24" t="str">
        <f t="shared" si="4"/>
        <v>N</v>
      </c>
    </row>
    <row r="127" spans="1:4" x14ac:dyDescent="0.3">
      <c r="A127" s="23" t="s">
        <v>147</v>
      </c>
      <c r="B127" s="11">
        <f>AVERAGEIF('Cleaned Data 2020 - 2024'!B:B,Calculations!A127,'Cleaned Data 2020 - 2024'!E:E)</f>
        <v>617031.19999999995</v>
      </c>
      <c r="C127" s="12">
        <f>AVERAGEIF('Cleaned Data 2020 - 2024'!B:B,Calculations!A127,'Cleaned Data 2020 - 2024'!J:J)</f>
        <v>56305</v>
      </c>
      <c r="D127" s="24" t="str">
        <f t="shared" si="4"/>
        <v>Y</v>
      </c>
    </row>
    <row r="128" spans="1:4" x14ac:dyDescent="0.3">
      <c r="A128" s="23" t="s">
        <v>150</v>
      </c>
      <c r="B128" s="11">
        <f>AVERAGEIF('Cleaned Data 2020 - 2024'!B:B,Calculations!A128,'Cleaned Data 2020 - 2024'!E:E)</f>
        <v>632185.19999999995</v>
      </c>
      <c r="C128" s="12">
        <f>AVERAGEIF('Cleaned Data 2020 - 2024'!B:B,Calculations!A128,'Cleaned Data 2020 - 2024'!J:J)</f>
        <v>52838.2</v>
      </c>
      <c r="D128" s="24" t="str">
        <f t="shared" si="4"/>
        <v>Y</v>
      </c>
    </row>
    <row r="129" spans="1:4" x14ac:dyDescent="0.3">
      <c r="A129" s="23" t="s">
        <v>130</v>
      </c>
      <c r="B129" s="11">
        <f>AVERAGEIF('Cleaned Data 2020 - 2024'!B:B,Calculations!A129,'Cleaned Data 2020 - 2024'!E:E)</f>
        <v>646537.80000000005</v>
      </c>
      <c r="C129" s="12">
        <f>AVERAGEIF('Cleaned Data 2020 - 2024'!B:B,Calculations!A129,'Cleaned Data 2020 - 2024'!J:J)</f>
        <v>54029.2</v>
      </c>
      <c r="D129" s="24" t="str">
        <f t="shared" si="4"/>
        <v>Y</v>
      </c>
    </row>
    <row r="130" spans="1:4" x14ac:dyDescent="0.3">
      <c r="A130" s="23" t="s">
        <v>103</v>
      </c>
      <c r="B130" s="11">
        <f>AVERAGEIF('Cleaned Data 2020 - 2024'!B:B,Calculations!A130,'Cleaned Data 2020 - 2024'!E:E)</f>
        <v>559098.19999999995</v>
      </c>
      <c r="C130" s="12">
        <f>AVERAGEIF('Cleaned Data 2020 - 2024'!B:B,Calculations!A130,'Cleaned Data 2020 - 2024'!J:J)</f>
        <v>56065.4</v>
      </c>
      <c r="D130" s="24" t="str">
        <f t="shared" si="4"/>
        <v>Y</v>
      </c>
    </row>
    <row r="131" spans="1:4" x14ac:dyDescent="0.3">
      <c r="A131" s="23" t="s">
        <v>114</v>
      </c>
      <c r="B131" s="11">
        <f>AVERAGEIF('Cleaned Data 2020 - 2024'!B:B,Calculations!A131,'Cleaned Data 2020 - 2024'!E:E)</f>
        <v>200627.20000000001</v>
      </c>
      <c r="C131" s="12">
        <f>AVERAGEIF('Cleaned Data 2020 - 2024'!B:B,Calculations!A131,'Cleaned Data 2020 - 2024'!J:J)</f>
        <v>54702.2</v>
      </c>
      <c r="D131" s="24" t="str">
        <f t="shared" si="4"/>
        <v>Y</v>
      </c>
    </row>
    <row r="132" spans="1:4" x14ac:dyDescent="0.3">
      <c r="A132" s="23" t="s">
        <v>145</v>
      </c>
      <c r="B132" s="11">
        <f>AVERAGEIF('Cleaned Data 2020 - 2024'!B:B,Calculations!A132,'Cleaned Data 2020 - 2024'!E:E)</f>
        <v>416710.6</v>
      </c>
      <c r="C132" s="12">
        <f>AVERAGEIF('Cleaned Data 2020 - 2024'!B:B,Calculations!A132,'Cleaned Data 2020 - 2024'!J:J)</f>
        <v>58049.2</v>
      </c>
      <c r="D132" s="24" t="str">
        <f t="shared" si="4"/>
        <v>N</v>
      </c>
    </row>
    <row r="133" spans="1:4" x14ac:dyDescent="0.3">
      <c r="A133" s="23" t="s">
        <v>181</v>
      </c>
      <c r="B133" s="11">
        <f>AVERAGEIF('Cleaned Data 2020 - 2024'!B:B,Calculations!A133,'Cleaned Data 2020 - 2024'!E:E)</f>
        <v>562630.40000000002</v>
      </c>
      <c r="C133" s="12">
        <f>AVERAGEIF('Cleaned Data 2020 - 2024'!B:B,Calculations!A133,'Cleaned Data 2020 - 2024'!J:J)</f>
        <v>57832.6</v>
      </c>
      <c r="D133" s="24" t="str">
        <f t="shared" si="4"/>
        <v>N</v>
      </c>
    </row>
    <row r="134" spans="1:4" x14ac:dyDescent="0.3">
      <c r="A134" s="23" t="s">
        <v>131</v>
      </c>
      <c r="B134" s="11">
        <f>AVERAGEIF('Cleaned Data 2020 - 2024'!B:B,Calculations!A134,'Cleaned Data 2020 - 2024'!E:E)</f>
        <v>590726.40000000002</v>
      </c>
      <c r="C134" s="12">
        <f>AVERAGEIF('Cleaned Data 2020 - 2024'!B:B,Calculations!A134,'Cleaned Data 2020 - 2024'!J:J)</f>
        <v>60160.6</v>
      </c>
      <c r="D134" s="24" t="str">
        <f t="shared" si="4"/>
        <v>N</v>
      </c>
    </row>
    <row r="135" spans="1:4" x14ac:dyDescent="0.3">
      <c r="A135" s="23" t="s">
        <v>136</v>
      </c>
      <c r="B135" s="11">
        <f>AVERAGEIF('Cleaned Data 2020 - 2024'!B:B,Calculations!A135,'Cleaned Data 2020 - 2024'!E:E)</f>
        <v>221116.6</v>
      </c>
      <c r="C135" s="12">
        <f>AVERAGEIF('Cleaned Data 2020 - 2024'!B:B,Calculations!A135,'Cleaned Data 2020 - 2024'!J:J)</f>
        <v>58767.6</v>
      </c>
      <c r="D135" s="24" t="str">
        <f t="shared" si="4"/>
        <v>N</v>
      </c>
    </row>
    <row r="136" spans="1:4" x14ac:dyDescent="0.3">
      <c r="A136" s="23" t="s">
        <v>128</v>
      </c>
      <c r="B136" s="11">
        <f>AVERAGEIF('Cleaned Data 2020 - 2024'!B:B,Calculations!A136,'Cleaned Data 2020 - 2024'!E:E)</f>
        <v>423701.33333333331</v>
      </c>
      <c r="C136" s="12">
        <f>AVERAGEIF('Cleaned Data 2020 - 2024'!B:B,Calculations!A136,'Cleaned Data 2020 - 2024'!J:J)</f>
        <v>62094.666666666664</v>
      </c>
      <c r="D136" s="24" t="str">
        <f t="shared" si="4"/>
        <v>N</v>
      </c>
    </row>
    <row r="137" spans="1:4" x14ac:dyDescent="0.3">
      <c r="A137" s="23" t="s">
        <v>161</v>
      </c>
      <c r="B137" s="11">
        <f>AVERAGEIF('Cleaned Data 2020 - 2024'!B:B,Calculations!A137,'Cleaned Data 2020 - 2024'!E:E)</f>
        <v>296106</v>
      </c>
      <c r="C137" s="12">
        <f>AVERAGEIF('Cleaned Data 2020 - 2024'!B:B,Calculations!A137,'Cleaned Data 2020 - 2024'!J:J)</f>
        <v>57943.8</v>
      </c>
      <c r="D137" s="24" t="str">
        <f t="shared" si="4"/>
        <v>N</v>
      </c>
    </row>
    <row r="138" spans="1:4" x14ac:dyDescent="0.3">
      <c r="A138" s="23" t="s">
        <v>169</v>
      </c>
      <c r="B138" s="11">
        <f>AVERAGEIF('Cleaned Data 2020 - 2024'!B:B,Calculations!A138,'Cleaned Data 2020 - 2024'!E:E)</f>
        <v>241238.39999999999</v>
      </c>
      <c r="C138" s="12">
        <f>AVERAGEIF('Cleaned Data 2020 - 2024'!B:B,Calculations!A138,'Cleaned Data 2020 - 2024'!J:J)</f>
        <v>57110.6</v>
      </c>
      <c r="D138" s="24" t="str">
        <f t="shared" si="4"/>
        <v>N</v>
      </c>
    </row>
    <row r="139" spans="1:4" x14ac:dyDescent="0.3">
      <c r="A139" s="23" t="s">
        <v>127</v>
      </c>
      <c r="B139" s="11">
        <f>AVERAGEIF('Cleaned Data 2020 - 2024'!B:B,Calculations!A139,'Cleaned Data 2020 - 2024'!E:E)</f>
        <v>584295.6</v>
      </c>
      <c r="C139" s="12">
        <f>AVERAGEIF('Cleaned Data 2020 - 2024'!B:B,Calculations!A139,'Cleaned Data 2020 - 2024'!J:J)</f>
        <v>57795</v>
      </c>
      <c r="D139" s="24" t="str">
        <f t="shared" si="4"/>
        <v>N</v>
      </c>
    </row>
    <row r="140" spans="1:4" x14ac:dyDescent="0.3">
      <c r="A140" s="23" t="s">
        <v>144</v>
      </c>
      <c r="B140" s="11">
        <f>AVERAGEIF('Cleaned Data 2020 - 2024'!B:B,Calculations!A140,'Cleaned Data 2020 - 2024'!E:E)</f>
        <v>446533</v>
      </c>
      <c r="C140" s="12">
        <f>AVERAGEIF('Cleaned Data 2020 - 2024'!B:B,Calculations!A140,'Cleaned Data 2020 - 2024'!J:J)</f>
        <v>55231.4</v>
      </c>
      <c r="D140" s="24" t="str">
        <f t="shared" si="4"/>
        <v>Y</v>
      </c>
    </row>
    <row r="141" spans="1:4" x14ac:dyDescent="0.3">
      <c r="A141" s="23" t="s">
        <v>152</v>
      </c>
      <c r="B141" s="11">
        <f>AVERAGEIF('Cleaned Data 2020 - 2024'!B:B,Calculations!A141,'Cleaned Data 2020 - 2024'!E:E)</f>
        <v>614590.80000000005</v>
      </c>
      <c r="C141" s="12">
        <f>AVERAGEIF('Cleaned Data 2020 - 2024'!B:B,Calculations!A141,'Cleaned Data 2020 - 2024'!J:J)</f>
        <v>57035.8</v>
      </c>
      <c r="D141" s="24" t="str">
        <f t="shared" si="4"/>
        <v>N</v>
      </c>
    </row>
    <row r="142" spans="1:4" x14ac:dyDescent="0.3">
      <c r="A142" s="23" t="s">
        <v>140</v>
      </c>
      <c r="B142" s="11">
        <f>AVERAGEIF('Cleaned Data 2020 - 2024'!B:B,Calculations!A142,'Cleaned Data 2020 - 2024'!E:E)</f>
        <v>177094</v>
      </c>
      <c r="C142" s="12">
        <f>AVERAGEIF('Cleaned Data 2020 - 2024'!B:B,Calculations!A142,'Cleaned Data 2020 - 2024'!J:J)</f>
        <v>61697.333333333336</v>
      </c>
      <c r="D142" s="24" t="str">
        <f t="shared" si="4"/>
        <v>N</v>
      </c>
    </row>
    <row r="143" spans="1:4" x14ac:dyDescent="0.3">
      <c r="A143" s="23" t="s">
        <v>194</v>
      </c>
      <c r="B143" s="11">
        <f>AVERAGEIF('Cleaned Data 2020 - 2024'!B:B,Calculations!A143,'Cleaned Data 2020 - 2024'!E:E)</f>
        <v>546579</v>
      </c>
      <c r="C143" s="12">
        <f>AVERAGEIF('Cleaned Data 2020 - 2024'!B:B,Calculations!A143,'Cleaned Data 2020 - 2024'!J:J)</f>
        <v>47981.25</v>
      </c>
      <c r="D143" s="24" t="str">
        <f t="shared" ref="D143:D169" si="5">IF(C143&lt;$H$2,"Y","N")</f>
        <v>Y</v>
      </c>
    </row>
    <row r="144" spans="1:4" x14ac:dyDescent="0.3">
      <c r="A144" s="23" t="s">
        <v>149</v>
      </c>
      <c r="B144" s="11">
        <f>AVERAGEIF('Cleaned Data 2020 - 2024'!B:B,Calculations!A144,'Cleaned Data 2020 - 2024'!E:E)</f>
        <v>443484.8</v>
      </c>
      <c r="C144" s="12">
        <f>AVERAGEIF('Cleaned Data 2020 - 2024'!B:B,Calculations!A144,'Cleaned Data 2020 - 2024'!J:J)</f>
        <v>52184.6</v>
      </c>
      <c r="D144" s="24" t="str">
        <f t="shared" si="5"/>
        <v>Y</v>
      </c>
    </row>
    <row r="145" spans="1:4" x14ac:dyDescent="0.3">
      <c r="A145" s="23" t="s">
        <v>160</v>
      </c>
      <c r="B145" s="11">
        <f>AVERAGEIF('Cleaned Data 2020 - 2024'!B:B,Calculations!A145,'Cleaned Data 2020 - 2024'!E:E)</f>
        <v>357958.6</v>
      </c>
      <c r="C145" s="12">
        <f>AVERAGEIF('Cleaned Data 2020 - 2024'!B:B,Calculations!A145,'Cleaned Data 2020 - 2024'!J:J)</f>
        <v>57207.4</v>
      </c>
      <c r="D145" s="24" t="str">
        <f t="shared" si="5"/>
        <v>N</v>
      </c>
    </row>
    <row r="146" spans="1:4" x14ac:dyDescent="0.3">
      <c r="A146" s="23" t="s">
        <v>178</v>
      </c>
      <c r="B146" s="11">
        <f>AVERAGEIF('Cleaned Data 2020 - 2024'!B:B,Calculations!A146,'Cleaned Data 2020 - 2024'!E:E)</f>
        <v>274584</v>
      </c>
      <c r="C146" s="12">
        <f>AVERAGEIF('Cleaned Data 2020 - 2024'!B:B,Calculations!A146,'Cleaned Data 2020 - 2024'!J:J)</f>
        <v>56898.6</v>
      </c>
      <c r="D146" s="24" t="str">
        <f t="shared" si="5"/>
        <v>N</v>
      </c>
    </row>
    <row r="147" spans="1:4" x14ac:dyDescent="0.3">
      <c r="A147" s="23" t="s">
        <v>142</v>
      </c>
      <c r="B147" s="11">
        <f>AVERAGEIF('Cleaned Data 2020 - 2024'!B:B,Calculations!A147,'Cleaned Data 2020 - 2024'!E:E)</f>
        <v>300678.2</v>
      </c>
      <c r="C147" s="12">
        <f>AVERAGEIF('Cleaned Data 2020 - 2024'!B:B,Calculations!A147,'Cleaned Data 2020 - 2024'!J:J)</f>
        <v>55966.6</v>
      </c>
      <c r="D147" s="24" t="str">
        <f t="shared" si="5"/>
        <v>Y</v>
      </c>
    </row>
    <row r="148" spans="1:4" x14ac:dyDescent="0.3">
      <c r="A148" s="23" t="s">
        <v>167</v>
      </c>
      <c r="B148" s="11">
        <f>AVERAGEIF('Cleaned Data 2020 - 2024'!B:B,Calculations!A148,'Cleaned Data 2020 - 2024'!E:E)</f>
        <v>239056.4</v>
      </c>
      <c r="C148" s="12">
        <f>AVERAGEIF('Cleaned Data 2020 - 2024'!B:B,Calculations!A148,'Cleaned Data 2020 - 2024'!J:J)</f>
        <v>58697</v>
      </c>
      <c r="D148" s="24" t="str">
        <f t="shared" si="5"/>
        <v>N</v>
      </c>
    </row>
    <row r="149" spans="1:4" x14ac:dyDescent="0.3">
      <c r="A149" s="23" t="s">
        <v>155</v>
      </c>
      <c r="B149" s="11">
        <f>AVERAGEIF('Cleaned Data 2020 - 2024'!B:B,Calculations!A149,'Cleaned Data 2020 - 2024'!E:E)</f>
        <v>601803.80000000005</v>
      </c>
      <c r="C149" s="12">
        <f>AVERAGEIF('Cleaned Data 2020 - 2024'!B:B,Calculations!A149,'Cleaned Data 2020 - 2024'!J:J)</f>
        <v>61820.6</v>
      </c>
      <c r="D149" s="24" t="str">
        <f t="shared" si="5"/>
        <v>N</v>
      </c>
    </row>
    <row r="150" spans="1:4" x14ac:dyDescent="0.3">
      <c r="A150" s="23" t="s">
        <v>143</v>
      </c>
      <c r="B150" s="11">
        <f>AVERAGEIF('Cleaned Data 2020 - 2024'!B:B,Calculations!A150,'Cleaned Data 2020 - 2024'!E:E)</f>
        <v>247274.8</v>
      </c>
      <c r="C150" s="12">
        <f>AVERAGEIF('Cleaned Data 2020 - 2024'!B:B,Calculations!A150,'Cleaned Data 2020 - 2024'!J:J)</f>
        <v>58389</v>
      </c>
      <c r="D150" s="24" t="str">
        <f t="shared" si="5"/>
        <v>N</v>
      </c>
    </row>
    <row r="151" spans="1:4" x14ac:dyDescent="0.3">
      <c r="A151" s="23" t="s">
        <v>177</v>
      </c>
      <c r="B151" s="11">
        <f>AVERAGEIF('Cleaned Data 2020 - 2024'!B:B,Calculations!A151,'Cleaned Data 2020 - 2024'!E:E)</f>
        <v>0</v>
      </c>
      <c r="C151" s="12">
        <f>AVERAGEIF('Cleaned Data 2020 - 2024'!B:B,Calculations!A151,'Cleaned Data 2020 - 2024'!J:J)</f>
        <v>60716</v>
      </c>
      <c r="D151" s="24" t="str">
        <f t="shared" si="5"/>
        <v>N</v>
      </c>
    </row>
    <row r="152" spans="1:4" x14ac:dyDescent="0.3">
      <c r="A152" s="23" t="s">
        <v>105</v>
      </c>
      <c r="B152" s="11">
        <f>AVERAGEIF('Cleaned Data 2020 - 2024'!B:B,Calculations!A152,'Cleaned Data 2020 - 2024'!E:E)</f>
        <v>381397</v>
      </c>
      <c r="C152" s="12">
        <f>AVERAGEIF('Cleaned Data 2020 - 2024'!B:B,Calculations!A152,'Cleaned Data 2020 - 2024'!J:J)</f>
        <v>57822.8</v>
      </c>
      <c r="D152" s="24" t="str">
        <f t="shared" si="5"/>
        <v>N</v>
      </c>
    </row>
    <row r="153" spans="1:4" x14ac:dyDescent="0.3">
      <c r="A153" s="23" t="s">
        <v>139</v>
      </c>
      <c r="B153" s="11">
        <f>AVERAGEIF('Cleaned Data 2020 - 2024'!B:B,Calculations!A153,'Cleaned Data 2020 - 2024'!E:E)</f>
        <v>176638.5</v>
      </c>
      <c r="C153" s="12">
        <f>AVERAGEIF('Cleaned Data 2020 - 2024'!B:B,Calculations!A153,'Cleaned Data 2020 - 2024'!J:J)</f>
        <v>72083.5</v>
      </c>
      <c r="D153" s="24" t="str">
        <f t="shared" si="5"/>
        <v>N</v>
      </c>
    </row>
    <row r="154" spans="1:4" x14ac:dyDescent="0.3">
      <c r="A154" s="23" t="s">
        <v>117</v>
      </c>
      <c r="B154" s="11">
        <f>AVERAGEIF('Cleaned Data 2020 - 2024'!B:B,Calculations!A154,'Cleaned Data 2020 - 2024'!E:E)</f>
        <v>323315</v>
      </c>
      <c r="C154" s="12">
        <f>AVERAGEIF('Cleaned Data 2020 - 2024'!B:B,Calculations!A154,'Cleaned Data 2020 - 2024'!J:J)</f>
        <v>51411.5</v>
      </c>
      <c r="D154" s="24" t="str">
        <f t="shared" si="5"/>
        <v>Y</v>
      </c>
    </row>
    <row r="155" spans="1:4" x14ac:dyDescent="0.3">
      <c r="A155" s="23" t="s">
        <v>137</v>
      </c>
      <c r="B155" s="11">
        <f>AVERAGEIF('Cleaned Data 2020 - 2024'!B:B,Calculations!A155,'Cleaned Data 2020 - 2024'!E:E)</f>
        <v>499694</v>
      </c>
      <c r="C155" s="12">
        <f>AVERAGEIF('Cleaned Data 2020 - 2024'!B:B,Calculations!A155,'Cleaned Data 2020 - 2024'!J:J)</f>
        <v>56649.4</v>
      </c>
      <c r="D155" s="24" t="str">
        <f t="shared" si="5"/>
        <v>N</v>
      </c>
    </row>
    <row r="156" spans="1:4" x14ac:dyDescent="0.3">
      <c r="A156" s="23" t="s">
        <v>151</v>
      </c>
      <c r="B156" s="11">
        <f>AVERAGEIF('Cleaned Data 2020 - 2024'!B:B,Calculations!A156,'Cleaned Data 2020 - 2024'!E:E)</f>
        <v>209994</v>
      </c>
      <c r="C156" s="12">
        <f>AVERAGEIF('Cleaned Data 2020 - 2024'!B:B,Calculations!A156,'Cleaned Data 2020 - 2024'!J:J)</f>
        <v>55631</v>
      </c>
      <c r="D156" s="24" t="str">
        <f t="shared" si="5"/>
        <v>Y</v>
      </c>
    </row>
    <row r="157" spans="1:4" x14ac:dyDescent="0.3">
      <c r="A157" s="23" t="s">
        <v>156</v>
      </c>
      <c r="B157" s="11">
        <f>AVERAGEIF('Cleaned Data 2020 - 2024'!B:B,Calculations!A157,'Cleaned Data 2020 - 2024'!E:E)</f>
        <v>267578.25</v>
      </c>
      <c r="C157" s="12">
        <f>AVERAGEIF('Cleaned Data 2020 - 2024'!B:B,Calculations!A157,'Cleaned Data 2020 - 2024'!J:J)</f>
        <v>50938.75</v>
      </c>
      <c r="D157" s="24" t="str">
        <f t="shared" si="5"/>
        <v>Y</v>
      </c>
    </row>
    <row r="158" spans="1:4" x14ac:dyDescent="0.3">
      <c r="A158" s="23" t="s">
        <v>148</v>
      </c>
      <c r="B158" s="11">
        <f>AVERAGEIF('Cleaned Data 2020 - 2024'!B:B,Calculations!A158,'Cleaned Data 2020 - 2024'!E:E)</f>
        <v>660185.19999999995</v>
      </c>
      <c r="C158" s="12">
        <f>AVERAGEIF('Cleaned Data 2020 - 2024'!B:B,Calculations!A158,'Cleaned Data 2020 - 2024'!J:J)</f>
        <v>56755</v>
      </c>
      <c r="D158" s="24" t="str">
        <f t="shared" si="5"/>
        <v>N</v>
      </c>
    </row>
    <row r="159" spans="1:4" x14ac:dyDescent="0.3">
      <c r="A159" s="23" t="s">
        <v>166</v>
      </c>
      <c r="B159" s="11">
        <f>AVERAGEIF('Cleaned Data 2020 - 2024'!B:B,Calculations!A159,'Cleaned Data 2020 - 2024'!E:E)</f>
        <v>338435.2</v>
      </c>
      <c r="C159" s="12">
        <f>AVERAGEIF('Cleaned Data 2020 - 2024'!B:B,Calculations!A159,'Cleaned Data 2020 - 2024'!J:J)</f>
        <v>52477</v>
      </c>
      <c r="D159" s="24" t="str">
        <f t="shared" si="5"/>
        <v>Y</v>
      </c>
    </row>
    <row r="160" spans="1:4" x14ac:dyDescent="0.3">
      <c r="A160" s="23" t="s">
        <v>168</v>
      </c>
      <c r="B160" s="11">
        <f>AVERAGEIF('Cleaned Data 2020 - 2024'!B:B,Calculations!A160,'Cleaned Data 2020 - 2024'!E:E)</f>
        <v>26728</v>
      </c>
      <c r="C160" s="12">
        <f>AVERAGEIF('Cleaned Data 2020 - 2024'!B:B,Calculations!A160,'Cleaned Data 2020 - 2024'!J:J)</f>
        <v>94699</v>
      </c>
      <c r="D160" s="24" t="str">
        <f t="shared" si="5"/>
        <v>N</v>
      </c>
    </row>
    <row r="161" spans="1:16" x14ac:dyDescent="0.3">
      <c r="A161" s="23" t="s">
        <v>174</v>
      </c>
      <c r="B161" s="11">
        <f>AVERAGEIF('Cleaned Data 2020 - 2024'!B:B,Calculations!A161,'Cleaned Data 2020 - 2024'!E:E)</f>
        <v>262158</v>
      </c>
      <c r="C161" s="12">
        <f>AVERAGEIF('Cleaned Data 2020 - 2024'!B:B,Calculations!A161,'Cleaned Data 2020 - 2024'!J:J)</f>
        <v>37189.666666666664</v>
      </c>
      <c r="D161" s="24" t="str">
        <f t="shared" si="5"/>
        <v>Y</v>
      </c>
    </row>
    <row r="162" spans="1:16" x14ac:dyDescent="0.3">
      <c r="A162" s="23" t="s">
        <v>135</v>
      </c>
      <c r="B162" s="11">
        <f>AVERAGEIF('Cleaned Data 2020 - 2024'!B:B,Calculations!A162,'Cleaned Data 2020 - 2024'!E:E)</f>
        <v>332116.40000000002</v>
      </c>
      <c r="C162" s="12">
        <f>AVERAGEIF('Cleaned Data 2020 - 2024'!B:B,Calculations!A162,'Cleaned Data 2020 - 2024'!J:J)</f>
        <v>58145.2</v>
      </c>
      <c r="D162" s="24" t="str">
        <f t="shared" si="5"/>
        <v>N</v>
      </c>
    </row>
    <row r="163" spans="1:16" x14ac:dyDescent="0.3">
      <c r="A163" s="23" t="s">
        <v>180</v>
      </c>
      <c r="B163" s="11">
        <f>AVERAGEIF('Cleaned Data 2020 - 2024'!B:B,Calculations!A163,'Cleaned Data 2020 - 2024'!E:E)</f>
        <v>188122</v>
      </c>
      <c r="C163" s="12">
        <f>AVERAGEIF('Cleaned Data 2020 - 2024'!B:B,Calculations!A163,'Cleaned Data 2020 - 2024'!J:J)</f>
        <v>79151</v>
      </c>
      <c r="D163" s="24" t="str">
        <f t="shared" si="5"/>
        <v>N</v>
      </c>
    </row>
    <row r="164" spans="1:16" x14ac:dyDescent="0.3">
      <c r="A164" s="23" t="s">
        <v>173</v>
      </c>
      <c r="B164" s="11">
        <f>AVERAGEIF('Cleaned Data 2020 - 2024'!B:B,Calculations!A164,'Cleaned Data 2020 - 2024'!E:E)</f>
        <v>267332.2</v>
      </c>
      <c r="C164" s="12">
        <f>AVERAGEIF('Cleaned Data 2020 - 2024'!B:B,Calculations!A164,'Cleaned Data 2020 - 2024'!J:J)</f>
        <v>60755.6</v>
      </c>
      <c r="D164" s="24" t="str">
        <f t="shared" si="5"/>
        <v>N</v>
      </c>
    </row>
    <row r="165" spans="1:16" x14ac:dyDescent="0.3">
      <c r="A165" s="23" t="s">
        <v>191</v>
      </c>
      <c r="B165" s="11">
        <f>AVERAGEIF('Cleaned Data 2020 - 2024'!B:B,Calculations!A165,'Cleaned Data 2020 - 2024'!E:E)</f>
        <v>665349.75</v>
      </c>
      <c r="C165" s="12">
        <f>AVERAGEIF('Cleaned Data 2020 - 2024'!B:B,Calculations!A165,'Cleaned Data 2020 - 2024'!J:J)</f>
        <v>50086.5</v>
      </c>
      <c r="D165" s="24" t="str">
        <f t="shared" si="5"/>
        <v>Y</v>
      </c>
    </row>
    <row r="166" spans="1:16" x14ac:dyDescent="0.3">
      <c r="A166" s="23" t="s">
        <v>193</v>
      </c>
      <c r="B166" s="11">
        <f>AVERAGEIF('Cleaned Data 2020 - 2024'!B:B,Calculations!A166,'Cleaned Data 2020 - 2024'!E:E)</f>
        <v>810974.2</v>
      </c>
      <c r="C166" s="12">
        <f>AVERAGEIF('Cleaned Data 2020 - 2024'!B:B,Calculations!A166,'Cleaned Data 2020 - 2024'!J:J)</f>
        <v>58673.4</v>
      </c>
      <c r="D166" s="24" t="str">
        <f t="shared" si="5"/>
        <v>N</v>
      </c>
    </row>
    <row r="167" spans="1:16" x14ac:dyDescent="0.3">
      <c r="A167" s="23" t="s">
        <v>192</v>
      </c>
      <c r="B167" s="11">
        <f>AVERAGEIF('Cleaned Data 2020 - 2024'!B:B,Calculations!A167,'Cleaned Data 2020 - 2024'!E:E)</f>
        <v>430155</v>
      </c>
      <c r="C167" s="12">
        <f>AVERAGEIF('Cleaned Data 2020 - 2024'!B:B,Calculations!A167,'Cleaned Data 2020 - 2024'!J:J)</f>
        <v>24819</v>
      </c>
      <c r="D167" s="24" t="str">
        <f t="shared" si="5"/>
        <v>Y</v>
      </c>
    </row>
    <row r="168" spans="1:16" x14ac:dyDescent="0.3">
      <c r="A168" s="23" t="s">
        <v>195</v>
      </c>
      <c r="B168" s="11">
        <f>AVERAGEIF('Cleaned Data 2020 - 2024'!B:B,Calculations!A168,'Cleaned Data 2020 - 2024'!E:E)</f>
        <v>520061</v>
      </c>
      <c r="C168" s="12">
        <f>AVERAGEIF('Cleaned Data 2020 - 2024'!B:B,Calculations!A168,'Cleaned Data 2020 - 2024'!J:J)</f>
        <v>88085</v>
      </c>
      <c r="D168" s="24" t="str">
        <f t="shared" si="5"/>
        <v>N</v>
      </c>
    </row>
    <row r="169" spans="1:16" x14ac:dyDescent="0.3">
      <c r="A169" s="23" t="s">
        <v>196</v>
      </c>
      <c r="B169" s="11">
        <f>AVERAGEIF('Cleaned Data 2020 - 2024'!B:B,Calculations!A169,'Cleaned Data 2020 - 2024'!E:E)</f>
        <v>787156.5</v>
      </c>
      <c r="C169" s="12">
        <f>AVERAGEIF('Cleaned Data 2020 - 2024'!B:B,Calculations!A169,'Cleaned Data 2020 - 2024'!J:J)</f>
        <v>51408</v>
      </c>
      <c r="D169" s="24" t="str">
        <f t="shared" si="5"/>
        <v>Y</v>
      </c>
    </row>
    <row r="170" spans="1:16" x14ac:dyDescent="0.3">
      <c r="O170" s="27"/>
      <c r="P170" s="28"/>
    </row>
    <row r="171" spans="1:16" x14ac:dyDescent="0.3">
      <c r="A171" s="40" t="s">
        <v>224</v>
      </c>
    </row>
    <row r="172" spans="1:16" x14ac:dyDescent="0.3">
      <c r="B172" s="38" t="s">
        <v>216</v>
      </c>
      <c r="C172" s="38"/>
      <c r="D172" s="38"/>
      <c r="E172" s="38"/>
      <c r="F172" s="38"/>
      <c r="H172" s="26"/>
    </row>
    <row r="173" spans="1:16" x14ac:dyDescent="0.3">
      <c r="A173" s="21" t="s">
        <v>1</v>
      </c>
      <c r="B173" s="21">
        <v>2020</v>
      </c>
      <c r="C173" s="21">
        <v>2021</v>
      </c>
      <c r="D173" s="21">
        <v>2022</v>
      </c>
      <c r="E173" s="21">
        <v>2023</v>
      </c>
      <c r="F173" s="21">
        <v>2024</v>
      </c>
      <c r="G173" s="25" t="s">
        <v>217</v>
      </c>
      <c r="H173" s="25" t="s">
        <v>214</v>
      </c>
    </row>
    <row r="174" spans="1:16" hidden="1" x14ac:dyDescent="0.3">
      <c r="A174" s="23" t="s">
        <v>18</v>
      </c>
      <c r="B174" s="12" cm="1">
        <f t="array" ref="B174">_xlfn.XLOOKUP(1,('Cleaned Data 2020 - 2024'!$B:$B=Calculations!A174)*('Cleaned Data 2020 - 2024'!$K:$K=Calculations!B173),'Cleaned Data 2020 - 2024'!$D:$D)</f>
        <v>780870</v>
      </c>
      <c r="C174" s="12" cm="1">
        <f t="array" ref="C174">_xlfn.XLOOKUP(1,('Cleaned Data 2020 - 2024'!$B:$B=$A$174)*('Cleaned Data 2020 - 2024'!$K:$K=Calculations!C173),'Cleaned Data 2020 - 2024'!$D:$D)</f>
        <v>784210</v>
      </c>
      <c r="D174" s="12" cm="1">
        <f t="array" ref="D174">_xlfn.XLOOKUP(1,('Cleaned Data 2020 - 2024'!$B:$B=$A$174)*('Cleaned Data 2020 - 2024'!$K:$K=Calculations!D173),'Cleaned Data 2020 - 2024'!$D:$D)</f>
        <v>782100</v>
      </c>
      <c r="E174" s="12" cm="1">
        <f t="array" ref="E174">_xlfn.XLOOKUP(1,('Cleaned Data 2020 - 2024'!$B:$B=$A$174)*('Cleaned Data 2020 - 2024'!$K:$K=Calculations!E173),'Cleaned Data 2020 - 2024'!$D:$D)</f>
        <v>780420</v>
      </c>
      <c r="F174" s="12" cm="1">
        <f t="array" ref="F174">_xlfn.XLOOKUP(1,('Cleaned Data 2020 - 2024'!$B:$B=$A$174)*('Cleaned Data 2020 - 2024'!$K:$K=Calculations!F173),'Cleaned Data 2020 - 2024'!$D:$D)</f>
        <v>774070</v>
      </c>
      <c r="G174" s="27">
        <f t="shared" ref="G174:G205" si="6">F174-B174</f>
        <v>-6800</v>
      </c>
      <c r="H174" s="28">
        <f t="shared" ref="H174:H205" si="7">_xlfn.RANK.EQ(G174,$G$174:$G$329,0)</f>
        <v>103</v>
      </c>
    </row>
    <row r="175" spans="1:16" hidden="1" x14ac:dyDescent="0.3">
      <c r="A175" s="23" t="s">
        <v>14</v>
      </c>
      <c r="B175" s="12" cm="1">
        <f t="array" ref="B175">_xlfn.XLOOKUP(1,('Cleaned Data 2020 - 2024'!$B:$B=Calculations!A175)*('Cleaned Data 2020 - 2024'!$K:$K=$B$173),'Cleaned Data 2020 - 2024'!$D:$D)</f>
        <v>764560</v>
      </c>
      <c r="C175" s="12" cm="1">
        <f t="array" ref="C175">_xlfn.XLOOKUP(1,('Cleaned Data 2020 - 2024'!B:B=A175)*('Cleaned Data 2020 - 2024'!K:K=$C$173),'Cleaned Data 2020 - 2024'!D:D)</f>
        <v>761950</v>
      </c>
      <c r="D175" s="12" cm="1">
        <f t="array" ref="D175">_xlfn.XLOOKUP(1,('Cleaned Data 2020 - 2024'!$B:$B=$A175)*('Cleaned Data 2020 - 2024'!$K:$K=$D$173),'Cleaned Data 2020 - 2024'!$D:$D)</f>
        <v>763620</v>
      </c>
      <c r="E175" s="12" cm="1">
        <f t="array" ref="E175">_xlfn.XLOOKUP(1,('Cleaned Data 2020 - 2024'!$B:$B=A175)*('Cleaned Data 2020 - 2024'!$K:$K=E173),'Cleaned Data 2020 - 2024'!$D:$D)</f>
        <v>758640</v>
      </c>
      <c r="F175" s="12" cm="1">
        <f t="array" ref="F175">_xlfn.XLOOKUP(1,('Cleaned Data 2020 - 2024'!$B:$B=A175)*('Cleaned Data 2020 - 2024'!$K:$K=$F$173),'Cleaned Data 2020 - 2024'!$D:$D)</f>
        <v>758270</v>
      </c>
      <c r="G175" s="27">
        <f t="shared" si="6"/>
        <v>-6290</v>
      </c>
      <c r="H175" s="28">
        <f t="shared" si="7"/>
        <v>100</v>
      </c>
    </row>
    <row r="176" spans="1:16" hidden="1" x14ac:dyDescent="0.3">
      <c r="A176" s="23" t="s">
        <v>11</v>
      </c>
      <c r="B176" s="12" cm="1">
        <f t="array" ref="B176">_xlfn.XLOOKUP(1,('Cleaned Data 2020 - 2024'!$B:$B=Calculations!A176)*('Cleaned Data 2020 - 2024'!$K:$K=$B$173),'Cleaned Data 2020 - 2024'!$D:$D)</f>
        <v>755990</v>
      </c>
      <c r="C176" s="12" cm="1">
        <f t="array" ref="C176">_xlfn.XLOOKUP(1,('Cleaned Data 2020 - 2024'!B:B=A176)*('Cleaned Data 2020 - 2024'!K:K=$C$173),'Cleaned Data 2020 - 2024'!D:D)</f>
        <v>757150</v>
      </c>
      <c r="D176" s="12" cm="1">
        <f t="array" ref="D176">_xlfn.XLOOKUP(1,('Cleaned Data 2020 - 2024'!$B:$B=$A176)*('Cleaned Data 2020 - 2024'!$K:$K=$D$173),'Cleaned Data 2020 - 2024'!$D:$D)</f>
        <v>751160</v>
      </c>
      <c r="E176" s="12" cm="1">
        <f t="array" ref="E176">_xlfn.XLOOKUP(1,('Cleaned Data 2020 - 2024'!$B:$B=A176)*('Cleaned Data 2020 - 2024'!$K:$K=$E$173),'Cleaned Data 2020 - 2024'!$D:$D)</f>
        <v>724010</v>
      </c>
      <c r="F176" s="12" cm="1">
        <f t="array" ref="F176">_xlfn.XLOOKUP(1,('Cleaned Data 2020 - 2024'!$B:$B=A176)*('Cleaned Data 2020 - 2024'!$K:$K=$F$173),'Cleaned Data 2020 - 2024'!$D:$D)</f>
        <v>706020</v>
      </c>
      <c r="G176" s="27">
        <f t="shared" si="6"/>
        <v>-49970</v>
      </c>
      <c r="H176" s="28">
        <f t="shared" si="7"/>
        <v>145</v>
      </c>
    </row>
    <row r="177" spans="1:8" hidden="1" x14ac:dyDescent="0.3">
      <c r="A177" s="23" t="s">
        <v>13</v>
      </c>
      <c r="B177" s="12" cm="1">
        <f t="array" ref="B177">_xlfn.XLOOKUP(1,('Cleaned Data 2020 - 2024'!$B:$B=Calculations!A177)*('Cleaned Data 2020 - 2024'!$K:$K=$B$173),'Cleaned Data 2020 - 2024'!$D:$D)</f>
        <v>750450</v>
      </c>
      <c r="C177" s="12" cm="1">
        <f t="array" ref="C177">_xlfn.XLOOKUP(1,('Cleaned Data 2020 - 2024'!B:B=A177)*('Cleaned Data 2020 - 2024'!K:K=$C$173),'Cleaned Data 2020 - 2024'!D:D)</f>
        <v>755390</v>
      </c>
      <c r="D177" s="12" cm="1">
        <f t="array" ref="D177">_xlfn.XLOOKUP(1,('Cleaned Data 2020 - 2024'!$B:$B=$A177)*('Cleaned Data 2020 - 2024'!$K:$K=$D$173),'Cleaned Data 2020 - 2024'!$D:$D)</f>
        <v>755750</v>
      </c>
      <c r="E177" s="12" cm="1">
        <f t="array" ref="E177">_xlfn.XLOOKUP(1,('Cleaned Data 2020 - 2024'!$B:$B=A177)*('Cleaned Data 2020 - 2024'!$K:$K=$E$173),'Cleaned Data 2020 - 2024'!$D:$D)</f>
        <v>752960</v>
      </c>
      <c r="F177" s="12" cm="1">
        <f t="array" ref="F177">_xlfn.XLOOKUP(1,('Cleaned Data 2020 - 2024'!$B:$B=A177)*('Cleaned Data 2020 - 2024'!$K:$K=$F$173),'Cleaned Data 2020 - 2024'!$D:$D)</f>
        <v>752510</v>
      </c>
      <c r="G177" s="27">
        <f t="shared" si="6"/>
        <v>2060</v>
      </c>
      <c r="H177" s="28">
        <f t="shared" si="7"/>
        <v>78</v>
      </c>
    </row>
    <row r="178" spans="1:8" hidden="1" x14ac:dyDescent="0.3">
      <c r="A178" s="23" t="s">
        <v>15</v>
      </c>
      <c r="B178" s="12" cm="1">
        <f t="array" ref="B178">_xlfn.XLOOKUP(1,('Cleaned Data 2020 - 2024'!$B:$B=Calculations!A178)*('Cleaned Data 2020 - 2024'!$K:$K=$B$173),'Cleaned Data 2020 - 2024'!$D:$D)</f>
        <v>748800</v>
      </c>
      <c r="C178" s="12" cm="1">
        <f t="array" ref="C178">_xlfn.XLOOKUP(1,('Cleaned Data 2020 - 2024'!B:B=A178)*('Cleaned Data 2020 - 2024'!K:K=$C$173),'Cleaned Data 2020 - 2024'!D:D)</f>
        <v>739250</v>
      </c>
      <c r="D178" s="12" cm="1">
        <f t="array" ref="D178">_xlfn.XLOOKUP(1,('Cleaned Data 2020 - 2024'!$B:$B=$A178)*('Cleaned Data 2020 - 2024'!$K:$K=$D$173),'Cleaned Data 2020 - 2024'!$D:$D)</f>
        <v>736510</v>
      </c>
      <c r="E178" s="12" cm="1">
        <f t="array" ref="E178">_xlfn.XLOOKUP(1,('Cleaned Data 2020 - 2024'!$B:$B=A178)*('Cleaned Data 2020 - 2024'!$K:$K=$E$173),'Cleaned Data 2020 - 2024'!$D:$D)</f>
        <v>731550</v>
      </c>
      <c r="F178" s="12" cm="1">
        <f t="array" ref="F178">_xlfn.XLOOKUP(1,('Cleaned Data 2020 - 2024'!$B:$B=A178)*('Cleaned Data 2020 - 2024'!$K:$K=$F$173),'Cleaned Data 2020 - 2024'!$D:$D)</f>
        <v>730170</v>
      </c>
      <c r="G178" s="27">
        <f t="shared" si="6"/>
        <v>-18630</v>
      </c>
      <c r="H178" s="28">
        <f t="shared" si="7"/>
        <v>118</v>
      </c>
    </row>
    <row r="179" spans="1:8" hidden="1" x14ac:dyDescent="0.3">
      <c r="A179" s="23" t="s">
        <v>19</v>
      </c>
      <c r="B179" s="12" cm="1">
        <f t="array" ref="B179">_xlfn.XLOOKUP(1,('Cleaned Data 2020 - 2024'!$B:$B=Calculations!A179)*('Cleaned Data 2020 - 2024'!$K:$K=$B$173),'Cleaned Data 2020 - 2024'!$D:$D)</f>
        <v>744890</v>
      </c>
      <c r="C179" s="12" cm="1">
        <f t="array" ref="C179">_xlfn.XLOOKUP(1,('Cleaned Data 2020 - 2024'!B:B=A179)*('Cleaned Data 2020 - 2024'!K:K=$C$173),'Cleaned Data 2020 - 2024'!D:D)</f>
        <v>746400</v>
      </c>
      <c r="D179" s="12" cm="1">
        <f t="array" ref="D179">_xlfn.XLOOKUP(1,('Cleaned Data 2020 - 2024'!$B:$B=$A179)*('Cleaned Data 2020 - 2024'!$K:$K=$D$173),'Cleaned Data 2020 - 2024'!$D:$D)</f>
        <v>741490</v>
      </c>
      <c r="E179" s="12" cm="1">
        <f t="array" ref="E179">_xlfn.XLOOKUP(1,('Cleaned Data 2020 - 2024'!$B:$B=A179)*('Cleaned Data 2020 - 2024'!$K:$K=$E$173),'Cleaned Data 2020 - 2024'!$D:$D)</f>
        <v>740300</v>
      </c>
      <c r="F179" s="12" cm="1">
        <f t="array" ref="F179">_xlfn.XLOOKUP(1,('Cleaned Data 2020 - 2024'!$B:$B=A179)*('Cleaned Data 2020 - 2024'!$K:$K=$F$173),'Cleaned Data 2020 - 2024'!$D:$D)</f>
        <v>731940</v>
      </c>
      <c r="G179" s="27">
        <f t="shared" si="6"/>
        <v>-12950</v>
      </c>
      <c r="H179" s="28">
        <f t="shared" si="7"/>
        <v>113</v>
      </c>
    </row>
    <row r="180" spans="1:8" hidden="1" x14ac:dyDescent="0.3">
      <c r="A180" s="23" t="s">
        <v>20</v>
      </c>
      <c r="B180" s="12" cm="1">
        <f t="array" ref="B180">_xlfn.XLOOKUP(1,('Cleaned Data 2020 - 2024'!$B:$B=Calculations!A180)*('Cleaned Data 2020 - 2024'!$K:$K=$B$173),'Cleaned Data 2020 - 2024'!$D:$D)</f>
        <v>735350</v>
      </c>
      <c r="C180" s="12" cm="1">
        <f t="array" ref="C180">_xlfn.XLOOKUP(1,('Cleaned Data 2020 - 2024'!B:B=A180)*('Cleaned Data 2020 - 2024'!K:K=$C$173),'Cleaned Data 2020 - 2024'!D:D)</f>
        <v>736270</v>
      </c>
      <c r="D180" s="12" cm="1">
        <f t="array" ref="D180">_xlfn.XLOOKUP(1,('Cleaned Data 2020 - 2024'!$B:$B=$A180)*('Cleaned Data 2020 - 2024'!$K:$K=$D$173),'Cleaned Data 2020 - 2024'!$D:$D)</f>
        <v>738430</v>
      </c>
      <c r="E180" s="12" cm="1">
        <f t="array" ref="E180">_xlfn.XLOOKUP(1,('Cleaned Data 2020 - 2024'!$B:$B=A180)*('Cleaned Data 2020 - 2024'!$K:$K=$E$173),'Cleaned Data 2020 - 2024'!$D:$D)</f>
        <v>739520</v>
      </c>
      <c r="F180" s="12" cm="1">
        <f t="array" ref="F180">_xlfn.XLOOKUP(1,('Cleaned Data 2020 - 2024'!$B:$B=A180)*('Cleaned Data 2020 - 2024'!$K:$K=$F$173),'Cleaned Data 2020 - 2024'!$D:$D)</f>
        <v>734410</v>
      </c>
      <c r="G180" s="27">
        <f t="shared" si="6"/>
        <v>-940</v>
      </c>
      <c r="H180" s="28">
        <f t="shared" si="7"/>
        <v>90</v>
      </c>
    </row>
    <row r="181" spans="1:8" hidden="1" x14ac:dyDescent="0.3">
      <c r="A181" s="23" t="s">
        <v>21</v>
      </c>
      <c r="B181" s="12" cm="1">
        <f t="array" ref="B181">_xlfn.XLOOKUP(1,('Cleaned Data 2020 - 2024'!$B:$B=Calculations!A181)*('Cleaned Data 2020 - 2024'!$K:$K=$B$173),'Cleaned Data 2020 - 2024'!$D:$D)</f>
        <v>729960</v>
      </c>
      <c r="C181" s="12" cm="1">
        <f t="array" ref="C181">_xlfn.XLOOKUP(1,('Cleaned Data 2020 - 2024'!B:B=A181)*('Cleaned Data 2020 - 2024'!K:K=$C$173),'Cleaned Data 2020 - 2024'!D:D)</f>
        <v>727660</v>
      </c>
      <c r="D181" s="12" cm="1">
        <f t="array" ref="D181">_xlfn.XLOOKUP(1,('Cleaned Data 2020 - 2024'!$B:$B=$A181)*('Cleaned Data 2020 - 2024'!$K:$K=$D$173),'Cleaned Data 2020 - 2024'!$D:$D)</f>
        <v>719980</v>
      </c>
      <c r="E181" s="12" cm="1">
        <f t="array" ref="E181">_xlfn.XLOOKUP(1,('Cleaned Data 2020 - 2024'!$B:$B=A181)*('Cleaned Data 2020 - 2024'!$K:$K=$E$173),'Cleaned Data 2020 - 2024'!$D:$D)</f>
        <v>712290</v>
      </c>
      <c r="F181" s="12" cm="1">
        <f t="array" ref="F181">_xlfn.XLOOKUP(1,('Cleaned Data 2020 - 2024'!$B:$B=A181)*('Cleaned Data 2020 - 2024'!$K:$K=$F$173),'Cleaned Data 2020 - 2024'!$D:$D)</f>
        <v>702920</v>
      </c>
      <c r="G181" s="27">
        <f t="shared" si="6"/>
        <v>-27040</v>
      </c>
      <c r="H181" s="28">
        <f t="shared" si="7"/>
        <v>128</v>
      </c>
    </row>
    <row r="182" spans="1:8" hidden="1" x14ac:dyDescent="0.3">
      <c r="A182" s="23" t="s">
        <v>27</v>
      </c>
      <c r="B182" s="12" cm="1">
        <f t="array" ref="B182">_xlfn.XLOOKUP(1,('Cleaned Data 2020 - 2024'!$B:$B=Calculations!A182)*('Cleaned Data 2020 - 2024'!$K:$K=$B$173),'Cleaned Data 2020 - 2024'!$D:$D)</f>
        <v>729420</v>
      </c>
      <c r="C182" s="12" cm="1">
        <f t="array" ref="C182">_xlfn.XLOOKUP(1,('Cleaned Data 2020 - 2024'!B:B=A182)*('Cleaned Data 2020 - 2024'!K:K=$C$173),'Cleaned Data 2020 - 2024'!D:D)</f>
        <v>726780</v>
      </c>
      <c r="D182" s="12" cm="1">
        <f t="array" ref="D182">_xlfn.XLOOKUP(1,('Cleaned Data 2020 - 2024'!$B:$B=$A182)*('Cleaned Data 2020 - 2024'!$K:$K=$D$173),'Cleaned Data 2020 - 2024'!$D:$D)</f>
        <v>716300</v>
      </c>
      <c r="E182" s="12" cm="1">
        <f t="array" ref="E182">_xlfn.XLOOKUP(1,('Cleaned Data 2020 - 2024'!$B:$B=A182)*('Cleaned Data 2020 - 2024'!$K:$K=$E$173),'Cleaned Data 2020 - 2024'!$D:$D)</f>
        <v>709730</v>
      </c>
      <c r="F182" s="12" cm="1">
        <f t="array" ref="F182">_xlfn.XLOOKUP(1,('Cleaned Data 2020 - 2024'!$B:$B=A182)*('Cleaned Data 2020 - 2024'!$K:$K=$F$173),'Cleaned Data 2020 - 2024'!$D:$D)</f>
        <v>690470</v>
      </c>
      <c r="G182" s="27">
        <f t="shared" si="6"/>
        <v>-38950</v>
      </c>
      <c r="H182" s="28">
        <f t="shared" si="7"/>
        <v>137</v>
      </c>
    </row>
    <row r="183" spans="1:8" hidden="1" x14ac:dyDescent="0.3">
      <c r="A183" s="23" t="s">
        <v>31</v>
      </c>
      <c r="B183" s="12" cm="1">
        <f t="array" ref="B183">_xlfn.XLOOKUP(1,('Cleaned Data 2020 - 2024'!$B:$B=Calculations!A183)*('Cleaned Data 2020 - 2024'!$K:$K=$B$173),'Cleaned Data 2020 - 2024'!$D:$D)</f>
        <v>723750</v>
      </c>
      <c r="C183" s="12" cm="1">
        <f t="array" ref="C183">_xlfn.XLOOKUP(1,('Cleaned Data 2020 - 2024'!B:B=A183)*('Cleaned Data 2020 - 2024'!K:K=$C$173),'Cleaned Data 2020 - 2024'!D:D)</f>
        <v>732440</v>
      </c>
      <c r="D183" s="12" cm="1">
        <f t="array" ref="D183">_xlfn.XLOOKUP(1,('Cleaned Data 2020 - 2024'!$B:$B=$A183)*('Cleaned Data 2020 - 2024'!$K:$K=$D$173),'Cleaned Data 2020 - 2024'!$D:$D)</f>
        <v>740400</v>
      </c>
      <c r="E183" s="12" cm="1">
        <f t="array" ref="E183">_xlfn.XLOOKUP(1,('Cleaned Data 2020 - 2024'!$B:$B=A183)*('Cleaned Data 2020 - 2024'!$K:$K=$E$173),'Cleaned Data 2020 - 2024'!$D:$D)</f>
        <v>722790</v>
      </c>
      <c r="F183" s="12" cm="1">
        <f t="array" ref="F183">_xlfn.XLOOKUP(1,('Cleaned Data 2020 - 2024'!$B:$B=A183)*('Cleaned Data 2020 - 2024'!$K:$K=$F$173),'Cleaned Data 2020 - 2024'!$D:$D)</f>
        <v>712190</v>
      </c>
      <c r="G183" s="27">
        <f t="shared" si="6"/>
        <v>-11560</v>
      </c>
      <c r="H183" s="28">
        <f t="shared" si="7"/>
        <v>110</v>
      </c>
    </row>
    <row r="184" spans="1:8" hidden="1" x14ac:dyDescent="0.3">
      <c r="A184" s="23" t="s">
        <v>16</v>
      </c>
      <c r="B184" s="12" cm="1">
        <f t="array" ref="B184">_xlfn.XLOOKUP(1,('Cleaned Data 2020 - 2024'!$B:$B=Calculations!A184)*('Cleaned Data 2020 - 2024'!$K:$K=$B$173),'Cleaned Data 2020 - 2024'!$D:$D)</f>
        <v>723210</v>
      </c>
      <c r="C184" s="12" cm="1">
        <f t="array" ref="C184">_xlfn.XLOOKUP(1,('Cleaned Data 2020 - 2024'!B:B=A184)*('Cleaned Data 2020 - 2024'!K:K=$C$173),'Cleaned Data 2020 - 2024'!D:D)</f>
        <v>710330</v>
      </c>
      <c r="D184" s="12" cm="1">
        <f t="array" ref="D184">_xlfn.XLOOKUP(1,('Cleaned Data 2020 - 2024'!$B:$B=$A184)*('Cleaned Data 2020 - 2024'!$K:$K=$D$173),'Cleaned Data 2020 - 2024'!$D:$D)</f>
        <v>702510</v>
      </c>
      <c r="E184" s="12" cm="1">
        <f t="array" ref="E184">_xlfn.XLOOKUP(1,('Cleaned Data 2020 - 2024'!$B:$B=A184)*('Cleaned Data 2020 - 2024'!$K:$K=$E$173),'Cleaned Data 2020 - 2024'!$D:$D)</f>
        <v>696070</v>
      </c>
      <c r="F184" s="12" cm="1">
        <f t="array" ref="F184">_xlfn.XLOOKUP(1,('Cleaned Data 2020 - 2024'!$B:$B=A184)*('Cleaned Data 2020 - 2024'!$K:$K=$F$173),'Cleaned Data 2020 - 2024'!$D:$D)</f>
        <v>689960</v>
      </c>
      <c r="G184" s="27">
        <f t="shared" si="6"/>
        <v>-33250</v>
      </c>
      <c r="H184" s="28">
        <f t="shared" si="7"/>
        <v>134</v>
      </c>
    </row>
    <row r="185" spans="1:8" hidden="1" x14ac:dyDescent="0.3">
      <c r="A185" s="23" t="s">
        <v>22</v>
      </c>
      <c r="B185" s="12" cm="1">
        <f t="array" ref="B185">_xlfn.XLOOKUP(1,('Cleaned Data 2020 - 2024'!$B:$B=Calculations!A185)*('Cleaned Data 2020 - 2024'!$K:$K=$B$173),'Cleaned Data 2020 - 2024'!$D:$D)</f>
        <v>722280</v>
      </c>
      <c r="C185" s="12" cm="1">
        <f t="array" ref="C185">_xlfn.XLOOKUP(1,('Cleaned Data 2020 - 2024'!B:B=A185)*('Cleaned Data 2020 - 2024'!K:K=$C$173),'Cleaned Data 2020 - 2024'!D:D)</f>
        <v>718350</v>
      </c>
      <c r="D185" s="12" cm="1">
        <f t="array" ref="D185">_xlfn.XLOOKUP(1,('Cleaned Data 2020 - 2024'!$B:$B=$A185)*('Cleaned Data 2020 - 2024'!$K:$K=$D$173),'Cleaned Data 2020 - 2024'!$D:$D)</f>
        <v>716210</v>
      </c>
      <c r="E185" s="12" cm="1">
        <f t="array" ref="E185">_xlfn.XLOOKUP(1,('Cleaned Data 2020 - 2024'!$B:$B=A185)*('Cleaned Data 2020 - 2024'!$K:$K=$E$173),'Cleaned Data 2020 - 2024'!$D:$D)</f>
        <v>709460</v>
      </c>
      <c r="F185" s="12" cm="1">
        <f t="array" ref="F185">_xlfn.XLOOKUP(1,('Cleaned Data 2020 - 2024'!$B:$B=A185)*('Cleaned Data 2020 - 2024'!$K:$K=$F$173),'Cleaned Data 2020 - 2024'!$D:$D)</f>
        <v>705690</v>
      </c>
      <c r="G185" s="27">
        <f t="shared" si="6"/>
        <v>-16590</v>
      </c>
      <c r="H185" s="28">
        <f t="shared" si="7"/>
        <v>115</v>
      </c>
    </row>
    <row r="186" spans="1:8" hidden="1" x14ac:dyDescent="0.3">
      <c r="A186" s="23" t="s">
        <v>35</v>
      </c>
      <c r="B186" s="12" cm="1">
        <f t="array" ref="B186">_xlfn.XLOOKUP(1,('Cleaned Data 2020 - 2024'!$B:$B=Calculations!A186)*('Cleaned Data 2020 - 2024'!$K:$K=$B$173),'Cleaned Data 2020 - 2024'!$D:$D)</f>
        <v>716450</v>
      </c>
      <c r="C186" s="12" cm="1">
        <f t="array" ref="C186">_xlfn.XLOOKUP(1,('Cleaned Data 2020 - 2024'!B:B=A186)*('Cleaned Data 2020 - 2024'!K:K=$C$173),'Cleaned Data 2020 - 2024'!D:D)</f>
        <v>706360</v>
      </c>
      <c r="D186" s="12" cm="1">
        <f t="array" ref="D186">_xlfn.XLOOKUP(1,('Cleaned Data 2020 - 2024'!$B:$B=$A186)*('Cleaned Data 2020 - 2024'!$K:$K=$D$173),'Cleaned Data 2020 - 2024'!$D:$D)</f>
        <v>694250</v>
      </c>
      <c r="E186" s="12" cm="1">
        <f t="array" ref="E186">_xlfn.XLOOKUP(1,('Cleaned Data 2020 - 2024'!$B:$B=A186)*('Cleaned Data 2020 - 2024'!$K:$K=$E$173),'Cleaned Data 2020 - 2024'!$D:$D)</f>
        <v>679560</v>
      </c>
      <c r="F186" s="12" cm="1">
        <f t="array" ref="F186">_xlfn.XLOOKUP(1,('Cleaned Data 2020 - 2024'!$B:$B=A186)*('Cleaned Data 2020 - 2024'!$K:$K=$F$173),'Cleaned Data 2020 - 2024'!$D:$D)</f>
        <v>674900</v>
      </c>
      <c r="G186" s="27">
        <f t="shared" si="6"/>
        <v>-41550</v>
      </c>
      <c r="H186" s="28">
        <f t="shared" si="7"/>
        <v>138</v>
      </c>
    </row>
    <row r="187" spans="1:8" hidden="1" x14ac:dyDescent="0.3">
      <c r="A187" s="23" t="s">
        <v>23</v>
      </c>
      <c r="B187" s="12" cm="1">
        <f t="array" ref="B187">_xlfn.XLOOKUP(1,('Cleaned Data 2020 - 2024'!$B:$B=Calculations!A187)*('Cleaned Data 2020 - 2024'!$K:$K=$B$173),'Cleaned Data 2020 - 2024'!$D:$D)</f>
        <v>712860</v>
      </c>
      <c r="C187" s="12" cm="1">
        <f t="array" ref="C187">_xlfn.XLOOKUP(1,('Cleaned Data 2020 - 2024'!B:B=A187)*('Cleaned Data 2020 - 2024'!K:K=$C$173),'Cleaned Data 2020 - 2024'!D:D)</f>
        <v>715710</v>
      </c>
      <c r="D187" s="12" cm="1">
        <f t="array" ref="D187">_xlfn.XLOOKUP(1,('Cleaned Data 2020 - 2024'!$B:$B=$A187)*('Cleaned Data 2020 - 2024'!$K:$K=$D$173),'Cleaned Data 2020 - 2024'!$D:$D)</f>
        <v>736380</v>
      </c>
      <c r="E187" s="12" cm="1">
        <f t="array" ref="E187">_xlfn.XLOOKUP(1,('Cleaned Data 2020 - 2024'!$B:$B=A187)*('Cleaned Data 2020 - 2024'!$K:$K=$E$173),'Cleaned Data 2020 - 2024'!$D:$D)</f>
        <v>747290</v>
      </c>
      <c r="F187" s="12" cm="1">
        <f t="array" ref="F187">_xlfn.XLOOKUP(1,('Cleaned Data 2020 - 2024'!$B:$B=A187)*('Cleaned Data 2020 - 2024'!$K:$K=$F$173),'Cleaned Data 2020 - 2024'!$D:$D)</f>
        <v>734110</v>
      </c>
      <c r="G187" s="27">
        <f t="shared" si="6"/>
        <v>21250</v>
      </c>
      <c r="H187" s="28">
        <f t="shared" si="7"/>
        <v>38</v>
      </c>
    </row>
    <row r="188" spans="1:8" hidden="1" x14ac:dyDescent="0.3">
      <c r="A188" s="23" t="s">
        <v>25</v>
      </c>
      <c r="B188" s="12" cm="1">
        <f t="array" ref="B188">_xlfn.XLOOKUP(1,('Cleaned Data 2020 - 2024'!$B:$B=Calculations!A188)*('Cleaned Data 2020 - 2024'!$K:$K=$B$173),'Cleaned Data 2020 - 2024'!$D:$D)</f>
        <v>712140</v>
      </c>
      <c r="C188" s="12" cm="1">
        <f t="array" ref="C188">_xlfn.XLOOKUP(1,('Cleaned Data 2020 - 2024'!B:B=A188)*('Cleaned Data 2020 - 2024'!K:K=$C$173),'Cleaned Data 2020 - 2024'!D:D)</f>
        <v>706940</v>
      </c>
      <c r="D188" s="12" cm="1">
        <f t="array" ref="D188">_xlfn.XLOOKUP(1,('Cleaned Data 2020 - 2024'!$B:$B=$A188)*('Cleaned Data 2020 - 2024'!$K:$K=$D$173),'Cleaned Data 2020 - 2024'!$D:$D)</f>
        <v>658200</v>
      </c>
      <c r="E188" s="12" cm="1">
        <f t="array" ref="E188">_xlfn.XLOOKUP(1,('Cleaned Data 2020 - 2024'!$B:$B=A188)*('Cleaned Data 2020 - 2024'!$K:$K=$E$173),'Cleaned Data 2020 - 2024'!$D:$D)</f>
        <v>660850</v>
      </c>
      <c r="F188" s="12" cm="1">
        <f t="array" ref="F188">_xlfn.XLOOKUP(1,('Cleaned Data 2020 - 2024'!$B:$B=A188)*('Cleaned Data 2020 - 2024'!$K:$K=$F$173),'Cleaned Data 2020 - 2024'!$D:$D)</f>
        <v>695540</v>
      </c>
      <c r="G188" s="27">
        <f t="shared" si="6"/>
        <v>-16600</v>
      </c>
      <c r="H188" s="28">
        <f t="shared" si="7"/>
        <v>116</v>
      </c>
    </row>
    <row r="189" spans="1:8" hidden="1" x14ac:dyDescent="0.3">
      <c r="A189" s="23" t="s">
        <v>32</v>
      </c>
      <c r="B189" s="12" cm="1">
        <f t="array" ref="B189">_xlfn.XLOOKUP(1,('Cleaned Data 2020 - 2024'!$B:$B=Calculations!A189)*('Cleaned Data 2020 - 2024'!$K:$K=$B$173),'Cleaned Data 2020 - 2024'!$D:$D)</f>
        <v>709370</v>
      </c>
      <c r="C189" s="12" cm="1">
        <f t="array" ref="C189">_xlfn.XLOOKUP(1,('Cleaned Data 2020 - 2024'!B:B=A189)*('Cleaned Data 2020 - 2024'!K:K=$C$173),'Cleaned Data 2020 - 2024'!D:D)</f>
        <v>708530</v>
      </c>
      <c r="D189" s="12" cm="1">
        <f t="array" ref="D189">_xlfn.XLOOKUP(1,('Cleaned Data 2020 - 2024'!$B:$B=$A189)*('Cleaned Data 2020 - 2024'!$K:$K=$D$173),'Cleaned Data 2020 - 2024'!$D:$D)</f>
        <v>704080</v>
      </c>
      <c r="E189" s="12" cm="1">
        <f t="array" ref="E189">_xlfn.XLOOKUP(1,('Cleaned Data 2020 - 2024'!$B:$B=A189)*('Cleaned Data 2020 - 2024'!$K:$K=$E$173),'Cleaned Data 2020 - 2024'!$D:$D)</f>
        <v>691080</v>
      </c>
      <c r="F189" s="12" cm="1">
        <f t="array" ref="F189">_xlfn.XLOOKUP(1,('Cleaned Data 2020 - 2024'!$B:$B=A189)*('Cleaned Data 2020 - 2024'!$K:$K=$F$173),'Cleaned Data 2020 - 2024'!$D:$D)</f>
        <v>683800</v>
      </c>
      <c r="G189" s="27">
        <f t="shared" si="6"/>
        <v>-25570</v>
      </c>
      <c r="H189" s="28">
        <f t="shared" si="7"/>
        <v>125</v>
      </c>
    </row>
    <row r="190" spans="1:8" hidden="1" x14ac:dyDescent="0.3">
      <c r="A190" s="23" t="s">
        <v>41</v>
      </c>
      <c r="B190" s="12" cm="1">
        <f t="array" ref="B190">_xlfn.XLOOKUP(1,('Cleaned Data 2020 - 2024'!$B:$B=Calculations!A190)*('Cleaned Data 2020 - 2024'!$K:$K=$B$173),'Cleaned Data 2020 - 2024'!$D:$D)</f>
        <v>707580</v>
      </c>
      <c r="C190" s="12" cm="1">
        <f t="array" ref="C190">_xlfn.XLOOKUP(1,('Cleaned Data 2020 - 2024'!B:B=A190)*('Cleaned Data 2020 - 2024'!K:K=$C$173),'Cleaned Data 2020 - 2024'!D:D)</f>
        <v>715450</v>
      </c>
      <c r="D190" s="12" cm="1">
        <f t="array" ref="D190">_xlfn.XLOOKUP(1,('Cleaned Data 2020 - 2024'!$B:$B=$A190)*('Cleaned Data 2020 - 2024'!$K:$K=$D$173),'Cleaned Data 2020 - 2024'!$D:$D)</f>
        <v>703410</v>
      </c>
      <c r="E190" s="12" cm="1">
        <f t="array" ref="E190">_xlfn.XLOOKUP(1,('Cleaned Data 2020 - 2024'!$B:$B=A190)*('Cleaned Data 2020 - 2024'!$K:$K=$E$173),'Cleaned Data 2020 - 2024'!$D:$D)</f>
        <v>689180</v>
      </c>
      <c r="F190" s="12" cm="1">
        <f t="array" ref="F190">_xlfn.XLOOKUP(1,('Cleaned Data 2020 - 2024'!$B:$B=A190)*('Cleaned Data 2020 - 2024'!$K:$K=$F$173),'Cleaned Data 2020 - 2024'!$D:$D)</f>
        <v>671850</v>
      </c>
      <c r="G190" s="27">
        <f t="shared" si="6"/>
        <v>-35730</v>
      </c>
      <c r="H190" s="28">
        <f t="shared" si="7"/>
        <v>136</v>
      </c>
    </row>
    <row r="191" spans="1:8" hidden="1" x14ac:dyDescent="0.3">
      <c r="A191" s="23" t="s">
        <v>29</v>
      </c>
      <c r="B191" s="12" cm="1">
        <f t="array" ref="B191">_xlfn.XLOOKUP(1,('Cleaned Data 2020 - 2024'!$B:$B=Calculations!A191)*('Cleaned Data 2020 - 2024'!$K:$K=$B$173),'Cleaned Data 2020 - 2024'!$D:$D)</f>
        <v>693960</v>
      </c>
      <c r="C191" s="12" cm="1">
        <f t="array" ref="C191">_xlfn.XLOOKUP(1,('Cleaned Data 2020 - 2024'!B:B=A191)*('Cleaned Data 2020 - 2024'!K:K=$C$173),'Cleaned Data 2020 - 2024'!D:D)</f>
        <v>695150</v>
      </c>
      <c r="D191" s="12" cm="1">
        <f t="array" ref="D191">_xlfn.XLOOKUP(1,('Cleaned Data 2020 - 2024'!$B:$B=$A191)*('Cleaned Data 2020 - 2024'!$K:$K=$D$173),'Cleaned Data 2020 - 2024'!$D:$D)</f>
        <v>697680</v>
      </c>
      <c r="E191" s="12" cm="1">
        <f t="array" ref="E191">_xlfn.XLOOKUP(1,('Cleaned Data 2020 - 2024'!$B:$B=A191)*('Cleaned Data 2020 - 2024'!$K:$K=$E$173),'Cleaned Data 2020 - 2024'!$D:$D)</f>
        <v>689370</v>
      </c>
      <c r="F191" s="12" cm="1">
        <f t="array" ref="F191">_xlfn.XLOOKUP(1,('Cleaned Data 2020 - 2024'!$B:$B=A191)*('Cleaned Data 2020 - 2024'!$K:$K=$F$173),'Cleaned Data 2020 - 2024'!$D:$D)</f>
        <v>672480</v>
      </c>
      <c r="G191" s="27">
        <f t="shared" si="6"/>
        <v>-21480</v>
      </c>
      <c r="H191" s="28">
        <f t="shared" si="7"/>
        <v>123</v>
      </c>
    </row>
    <row r="192" spans="1:8" hidden="1" x14ac:dyDescent="0.3">
      <c r="A192" s="23" t="s">
        <v>33</v>
      </c>
      <c r="B192" s="12" cm="1">
        <f t="array" ref="B192">_xlfn.XLOOKUP(1,('Cleaned Data 2020 - 2024'!$B:$B=Calculations!A192)*('Cleaned Data 2020 - 2024'!$K:$K=$B$173),'Cleaned Data 2020 - 2024'!$D:$D)</f>
        <v>686350</v>
      </c>
      <c r="C192" s="12" cm="1">
        <f t="array" ref="C192">_xlfn.XLOOKUP(1,('Cleaned Data 2020 - 2024'!B:B=A192)*('Cleaned Data 2020 - 2024'!K:K=$C$173),'Cleaned Data 2020 - 2024'!D:D)</f>
        <v>683400</v>
      </c>
      <c r="D192" s="12" cm="1">
        <f t="array" ref="D192">_xlfn.XLOOKUP(1,('Cleaned Data 2020 - 2024'!$B:$B=$A192)*('Cleaned Data 2020 - 2024'!$K:$K=$D$173),'Cleaned Data 2020 - 2024'!$D:$D)</f>
        <v>680500</v>
      </c>
      <c r="E192" s="12" cm="1">
        <f t="array" ref="E192">_xlfn.XLOOKUP(1,('Cleaned Data 2020 - 2024'!$B:$B=A192)*('Cleaned Data 2020 - 2024'!$K:$K=$E$173),'Cleaned Data 2020 - 2024'!$D:$D)</f>
        <v>685910</v>
      </c>
      <c r="F192" s="12" cm="1">
        <f t="array" ref="F192">_xlfn.XLOOKUP(1,('Cleaned Data 2020 - 2024'!$B:$B=A192)*('Cleaned Data 2020 - 2024'!$K:$K=$F$173),'Cleaned Data 2020 - 2024'!$D:$D)</f>
        <v>689420</v>
      </c>
      <c r="G192" s="27">
        <f t="shared" si="6"/>
        <v>3070</v>
      </c>
      <c r="H192" s="28">
        <f t="shared" si="7"/>
        <v>72</v>
      </c>
    </row>
    <row r="193" spans="1:8" hidden="1" x14ac:dyDescent="0.3">
      <c r="A193" s="23" t="s">
        <v>34</v>
      </c>
      <c r="B193" s="12" cm="1">
        <f t="array" ref="B193">_xlfn.XLOOKUP(1,('Cleaned Data 2020 - 2024'!$B:$B=Calculations!A193)*('Cleaned Data 2020 - 2024'!$K:$K=$B$173),'Cleaned Data 2020 - 2024'!$D:$D)</f>
        <v>679080</v>
      </c>
      <c r="C193" s="12" cm="1">
        <f t="array" ref="C193">_xlfn.XLOOKUP(1,('Cleaned Data 2020 - 2024'!B:B=A193)*('Cleaned Data 2020 - 2024'!K:K=$C$173),'Cleaned Data 2020 - 2024'!D:D)</f>
        <v>656050</v>
      </c>
      <c r="D193" s="12" cm="1">
        <f t="array" ref="D193">_xlfn.XLOOKUP(1,('Cleaned Data 2020 - 2024'!$B:$B=$A193)*('Cleaned Data 2020 - 2024'!$K:$K=$D$173),'Cleaned Data 2020 - 2024'!$D:$D)</f>
        <v>657600</v>
      </c>
      <c r="E193" s="12" cm="1">
        <f t="array" ref="E193">_xlfn.XLOOKUP(1,('Cleaned Data 2020 - 2024'!$B:$B=A193)*('Cleaned Data 2020 - 2024'!$K:$K=$E$173),'Cleaned Data 2020 - 2024'!$D:$D)</f>
        <v>657120</v>
      </c>
      <c r="F193" s="12" cm="1">
        <f t="array" ref="F193">_xlfn.XLOOKUP(1,('Cleaned Data 2020 - 2024'!$B:$B=A193)*('Cleaned Data 2020 - 2024'!$K:$K=$F$173),'Cleaned Data 2020 - 2024'!$D:$D)</f>
        <v>673310</v>
      </c>
      <c r="G193" s="27">
        <f t="shared" si="6"/>
        <v>-5770</v>
      </c>
      <c r="H193" s="28">
        <f t="shared" si="7"/>
        <v>97</v>
      </c>
    </row>
    <row r="194" spans="1:8" hidden="1" x14ac:dyDescent="0.3">
      <c r="A194" s="23" t="s">
        <v>53</v>
      </c>
      <c r="B194" s="12" cm="1">
        <f t="array" ref="B194">_xlfn.XLOOKUP(1,('Cleaned Data 2020 - 2024'!$B:$B=Calculations!A194)*('Cleaned Data 2020 - 2024'!$K:$K=$B$173),'Cleaned Data 2020 - 2024'!$D:$D)</f>
        <v>677280</v>
      </c>
      <c r="C194" s="12" cm="1">
        <f t="array" ref="C194">_xlfn.XLOOKUP(1,('Cleaned Data 2020 - 2024'!B:B=A194)*('Cleaned Data 2020 - 2024'!K:K=$C$173),'Cleaned Data 2020 - 2024'!D:D)</f>
        <v>660200</v>
      </c>
      <c r="D194" s="12" cm="1">
        <f t="array" ref="D194">_xlfn.XLOOKUP(1,('Cleaned Data 2020 - 2024'!$B:$B=$A194)*('Cleaned Data 2020 - 2024'!$K:$K=$D$173),'Cleaned Data 2020 - 2024'!$D:$D)</f>
        <v>644690</v>
      </c>
      <c r="E194" s="12" cm="1">
        <f t="array" ref="E194">_xlfn.XLOOKUP(1,('Cleaned Data 2020 - 2024'!$B:$B=A194)*('Cleaned Data 2020 - 2024'!$K:$K=$E$173),'Cleaned Data 2020 - 2024'!$D:$D)</f>
        <v>629990</v>
      </c>
      <c r="F194" s="12" cm="1">
        <f t="array" ref="F194">_xlfn.XLOOKUP(1,('Cleaned Data 2020 - 2024'!$B:$B=A194)*('Cleaned Data 2020 - 2024'!$K:$K=$F$173),'Cleaned Data 2020 - 2024'!$D:$D)</f>
        <v>634580</v>
      </c>
      <c r="G194" s="27">
        <f t="shared" si="6"/>
        <v>-42700</v>
      </c>
      <c r="H194" s="28">
        <f t="shared" si="7"/>
        <v>139</v>
      </c>
    </row>
    <row r="195" spans="1:8" hidden="1" x14ac:dyDescent="0.3">
      <c r="A195" s="23" t="s">
        <v>44</v>
      </c>
      <c r="B195" s="12" cm="1">
        <f t="array" ref="B195">_xlfn.XLOOKUP(1,('Cleaned Data 2020 - 2024'!$B:$B=Calculations!A195)*('Cleaned Data 2020 - 2024'!$K:$K=$B$173),'Cleaned Data 2020 - 2024'!$D:$D)</f>
        <v>666380</v>
      </c>
      <c r="C195" s="12" cm="1">
        <f t="array" ref="C195">_xlfn.XLOOKUP(1,('Cleaned Data 2020 - 2024'!B:B=A195)*('Cleaned Data 2020 - 2024'!K:K=$C$173),'Cleaned Data 2020 - 2024'!D:D)</f>
        <v>668990</v>
      </c>
      <c r="D195" s="12" cm="1">
        <f t="array" ref="D195">_xlfn.XLOOKUP(1,('Cleaned Data 2020 - 2024'!$B:$B=$A195)*('Cleaned Data 2020 - 2024'!$K:$K=$D$173),'Cleaned Data 2020 - 2024'!$D:$D)</f>
        <v>668670</v>
      </c>
      <c r="E195" s="12" cm="1">
        <f t="array" ref="E195">_xlfn.XLOOKUP(1,('Cleaned Data 2020 - 2024'!$B:$B=A195)*('Cleaned Data 2020 - 2024'!$K:$K=$E$173),'Cleaned Data 2020 - 2024'!$D:$D)</f>
        <v>666130</v>
      </c>
      <c r="F195" s="12" cm="1">
        <f t="array" ref="F195">_xlfn.XLOOKUP(1,('Cleaned Data 2020 - 2024'!$B:$B=A195)*('Cleaned Data 2020 - 2024'!$K:$K=$F$173),'Cleaned Data 2020 - 2024'!$D:$D)</f>
        <v>660900</v>
      </c>
      <c r="G195" s="27">
        <f t="shared" si="6"/>
        <v>-5480</v>
      </c>
      <c r="H195" s="28">
        <f t="shared" si="7"/>
        <v>96</v>
      </c>
    </row>
    <row r="196" spans="1:8" hidden="1" x14ac:dyDescent="0.3">
      <c r="A196" s="23" t="s">
        <v>28</v>
      </c>
      <c r="B196" s="12" cm="1">
        <f t="array" ref="B196">_xlfn.XLOOKUP(1,('Cleaned Data 2020 - 2024'!$B:$B=Calculations!A196)*('Cleaned Data 2020 - 2024'!$K:$K=$B$173),'Cleaned Data 2020 - 2024'!$D:$D)</f>
        <v>646500</v>
      </c>
      <c r="C196" s="12" cm="1">
        <f t="array" ref="C196">_xlfn.XLOOKUP(1,('Cleaned Data 2020 - 2024'!B:B=A196)*('Cleaned Data 2020 - 2024'!K:K=$C$173),'Cleaned Data 2020 - 2024'!D:D)</f>
        <v>631680</v>
      </c>
      <c r="D196" s="12" cm="1">
        <f t="array" ref="D196">_xlfn.XLOOKUP(1,('Cleaned Data 2020 - 2024'!$B:$B=$A196)*('Cleaned Data 2020 - 2024'!$K:$K=$D$173),'Cleaned Data 2020 - 2024'!$D:$D)</f>
        <v>612760</v>
      </c>
      <c r="E196" s="12" cm="1">
        <f t="array" ref="E196">_xlfn.XLOOKUP(1,('Cleaned Data 2020 - 2024'!$B:$B=A196)*('Cleaned Data 2020 - 2024'!$K:$K=$E$173),'Cleaned Data 2020 - 2024'!$D:$D)</f>
        <v>632950</v>
      </c>
      <c r="F196" s="12" cm="1">
        <f t="array" ref="F196">_xlfn.XLOOKUP(1,('Cleaned Data 2020 - 2024'!$B:$B=A196)*('Cleaned Data 2020 - 2024'!$K:$K=$F$173),'Cleaned Data 2020 - 2024'!$D:$D)</f>
        <v>667800</v>
      </c>
      <c r="G196" s="27">
        <f t="shared" si="6"/>
        <v>21300</v>
      </c>
      <c r="H196" s="28">
        <f t="shared" si="7"/>
        <v>37</v>
      </c>
    </row>
    <row r="197" spans="1:8" hidden="1" x14ac:dyDescent="0.3">
      <c r="A197" s="23" t="s">
        <v>184</v>
      </c>
      <c r="B197" s="12" cm="1">
        <f t="array" ref="B197">_xlfn.XLOOKUP(1,('Cleaned Data 2020 - 2024'!$B:$B=Calculations!A197)*('Cleaned Data 2020 - 2024'!$K:$K=$B$173),'Cleaned Data 2020 - 2024'!$D:$D)</f>
        <v>645540</v>
      </c>
      <c r="C197" s="12" cm="1">
        <f t="array" ref="C197">_xlfn.XLOOKUP(1,('Cleaned Data 2020 - 2024'!B:B=A197)*('Cleaned Data 2020 - 2024'!K:K=$C$173),'Cleaned Data 2020 - 2024'!D:D)</f>
        <v>658440</v>
      </c>
      <c r="D197" s="12" cm="1">
        <f t="array" ref="D197">_xlfn.XLOOKUP(1,('Cleaned Data 2020 - 2024'!$B:$B=$A197)*('Cleaned Data 2020 - 2024'!$K:$K=$D$173),'Cleaned Data 2020 - 2024'!$D:$D)</f>
        <v>651250</v>
      </c>
      <c r="E197" s="12" cm="1">
        <f t="array" ref="E197">_xlfn.XLOOKUP(1,('Cleaned Data 2020 - 2024'!$B:$B=A197)*('Cleaned Data 2020 - 2024'!$K:$K=$E$173),'Cleaned Data 2020 - 2024'!$D:$D)</f>
        <v>653540</v>
      </c>
      <c r="F197" s="12" cm="1">
        <f t="array" ref="F197">_xlfn.XLOOKUP(1,('Cleaned Data 2020 - 2024'!$B:$B=A197)*('Cleaned Data 2020 - 2024'!$K:$K=$F$173),'Cleaned Data 2020 - 2024'!$D:$D)</f>
        <v>650350</v>
      </c>
      <c r="G197" s="27">
        <f t="shared" si="6"/>
        <v>4810</v>
      </c>
      <c r="H197" s="28">
        <f t="shared" si="7"/>
        <v>65</v>
      </c>
    </row>
    <row r="198" spans="1:8" hidden="1" x14ac:dyDescent="0.3">
      <c r="A198" s="23" t="s">
        <v>48</v>
      </c>
      <c r="B198" s="12" cm="1">
        <f t="array" ref="B198">_xlfn.XLOOKUP(1,('Cleaned Data 2020 - 2024'!$B:$B=Calculations!A198)*('Cleaned Data 2020 - 2024'!$K:$K=$B$173),'Cleaned Data 2020 - 2024'!$D:$D)</f>
        <v>644010</v>
      </c>
      <c r="C198" s="12" cm="1">
        <f t="array" ref="C198">_xlfn.XLOOKUP(1,('Cleaned Data 2020 - 2024'!B:B=A198)*('Cleaned Data 2020 - 2024'!K:K=$C$173),'Cleaned Data 2020 - 2024'!D:D)</f>
        <v>643140</v>
      </c>
      <c r="D198" s="12" cm="1">
        <f t="array" ref="D198">_xlfn.XLOOKUP(1,('Cleaned Data 2020 - 2024'!$B:$B=$A198)*('Cleaned Data 2020 - 2024'!$K:$K=$D$173),'Cleaned Data 2020 - 2024'!$D:$D)</f>
        <v>647360</v>
      </c>
      <c r="E198" s="12" cm="1">
        <f t="array" ref="E198">_xlfn.XLOOKUP(1,('Cleaned Data 2020 - 2024'!$B:$B=A198)*('Cleaned Data 2020 - 2024'!$K:$K=$E$173),'Cleaned Data 2020 - 2024'!$D:$D)</f>
        <v>649390</v>
      </c>
      <c r="F198" s="12" cm="1">
        <f t="array" ref="F198">_xlfn.XLOOKUP(1,('Cleaned Data 2020 - 2024'!$B:$B=A198)*('Cleaned Data 2020 - 2024'!$K:$K=$F$173),'Cleaned Data 2020 - 2024'!$D:$D)</f>
        <v>661150</v>
      </c>
      <c r="G198" s="27">
        <f t="shared" si="6"/>
        <v>17140</v>
      </c>
      <c r="H198" s="28">
        <f t="shared" si="7"/>
        <v>47</v>
      </c>
    </row>
    <row r="199" spans="1:8" hidden="1" x14ac:dyDescent="0.3">
      <c r="A199" s="23" t="s">
        <v>51</v>
      </c>
      <c r="B199" s="12" cm="1">
        <f t="array" ref="B199">_xlfn.XLOOKUP(1,('Cleaned Data 2020 - 2024'!$B:$B=Calculations!A199)*('Cleaned Data 2020 - 2024'!$K:$K=$B$173),'Cleaned Data 2020 - 2024'!$D:$D)</f>
        <v>640650</v>
      </c>
      <c r="C199" s="12" cm="1">
        <f t="array" ref="C199">_xlfn.XLOOKUP(1,('Cleaned Data 2020 - 2024'!B:B=A199)*('Cleaned Data 2020 - 2024'!K:K=$C$173),'Cleaned Data 2020 - 2024'!D:D)</f>
        <v>649400</v>
      </c>
      <c r="D199" s="12" cm="1">
        <f t="array" ref="D199">_xlfn.XLOOKUP(1,('Cleaned Data 2020 - 2024'!$B:$B=$A199)*('Cleaned Data 2020 - 2024'!$K:$K=$D$173),'Cleaned Data 2020 - 2024'!$D:$D)</f>
        <v>652280</v>
      </c>
      <c r="E199" s="12" cm="1">
        <f t="array" ref="E199">_xlfn.XLOOKUP(1,('Cleaned Data 2020 - 2024'!$B:$B=A199)*('Cleaned Data 2020 - 2024'!$K:$K=$E$173),'Cleaned Data 2020 - 2024'!$D:$D)</f>
        <v>646260</v>
      </c>
      <c r="F199" s="12" cm="1">
        <f t="array" ref="F199">_xlfn.XLOOKUP(1,('Cleaned Data 2020 - 2024'!$B:$B=A199)*('Cleaned Data 2020 - 2024'!$K:$K=$F$173),'Cleaned Data 2020 - 2024'!$D:$D)</f>
        <v>659350</v>
      </c>
      <c r="G199" s="27">
        <f t="shared" si="6"/>
        <v>18700</v>
      </c>
      <c r="H199" s="28">
        <f t="shared" si="7"/>
        <v>43</v>
      </c>
    </row>
    <row r="200" spans="1:8" hidden="1" x14ac:dyDescent="0.3">
      <c r="A200" s="23" t="s">
        <v>52</v>
      </c>
      <c r="B200" s="12" cm="1">
        <f t="array" ref="B200">_xlfn.XLOOKUP(1,('Cleaned Data 2020 - 2024'!$B:$B=Calculations!A200)*('Cleaned Data 2020 - 2024'!$K:$K=$B$173),'Cleaned Data 2020 - 2024'!$D:$D)</f>
        <v>640090</v>
      </c>
      <c r="C200" s="12" cm="1">
        <f t="array" ref="C200">_xlfn.XLOOKUP(1,('Cleaned Data 2020 - 2024'!B:B=A200)*('Cleaned Data 2020 - 2024'!K:K=$C$173),'Cleaned Data 2020 - 2024'!D:D)</f>
        <v>649070</v>
      </c>
      <c r="D200" s="12" cm="1">
        <f t="array" ref="D200">_xlfn.XLOOKUP(1,('Cleaned Data 2020 - 2024'!$B:$B=$A200)*('Cleaned Data 2020 - 2024'!$K:$K=$D$173),'Cleaned Data 2020 - 2024'!$D:$D)</f>
        <v>647630</v>
      </c>
      <c r="E200" s="12" cm="1">
        <f t="array" ref="E200">_xlfn.XLOOKUP(1,('Cleaned Data 2020 - 2024'!$B:$B=A200)*('Cleaned Data 2020 - 2024'!$K:$K=$E$173),'Cleaned Data 2020 - 2024'!$D:$D)</f>
        <v>643620</v>
      </c>
      <c r="F200" s="12" cm="1">
        <f t="array" ref="F200">_xlfn.XLOOKUP(1,('Cleaned Data 2020 - 2024'!$B:$B=A200)*('Cleaned Data 2020 - 2024'!$K:$K=$F$173),'Cleaned Data 2020 - 2024'!$D:$D)</f>
        <v>642090</v>
      </c>
      <c r="G200" s="27">
        <f t="shared" si="6"/>
        <v>2000</v>
      </c>
      <c r="H200" s="28">
        <f t="shared" si="7"/>
        <v>79</v>
      </c>
    </row>
    <row r="201" spans="1:8" hidden="1" x14ac:dyDescent="0.3">
      <c r="A201" s="23" t="s">
        <v>60</v>
      </c>
      <c r="B201" s="12" cm="1">
        <f t="array" ref="B201">_xlfn.XLOOKUP(1,('Cleaned Data 2020 - 2024'!$B:$B=Calculations!A201)*('Cleaned Data 2020 - 2024'!$K:$K=$B$173),'Cleaned Data 2020 - 2024'!$D:$D)</f>
        <v>639890</v>
      </c>
      <c r="C201" s="12" cm="1">
        <f t="array" ref="C201">_xlfn.XLOOKUP(1,('Cleaned Data 2020 - 2024'!B:B=A201)*('Cleaned Data 2020 - 2024'!K:K=$C$173),'Cleaned Data 2020 - 2024'!D:D)</f>
        <v>643450</v>
      </c>
      <c r="D201" s="12" cm="1">
        <f t="array" ref="D201">_xlfn.XLOOKUP(1,('Cleaned Data 2020 - 2024'!$B:$B=$A201)*('Cleaned Data 2020 - 2024'!$K:$K=$D$173),'Cleaned Data 2020 - 2024'!$D:$D)</f>
        <v>626220</v>
      </c>
      <c r="E201" s="12" cm="1">
        <f t="array" ref="E201">_xlfn.XLOOKUP(1,('Cleaned Data 2020 - 2024'!$B:$B=A201)*('Cleaned Data 2020 - 2024'!$K:$K=$E$173),'Cleaned Data 2020 - 2024'!$D:$D)</f>
        <v>615030</v>
      </c>
      <c r="F201" s="12" cm="1">
        <f t="array" ref="F201">_xlfn.XLOOKUP(1,('Cleaned Data 2020 - 2024'!$B:$B=A201)*('Cleaned Data 2020 - 2024'!$K:$K=$F$173),'Cleaned Data 2020 - 2024'!$D:$D)</f>
        <v>628700</v>
      </c>
      <c r="G201" s="27">
        <f t="shared" si="6"/>
        <v>-11190</v>
      </c>
      <c r="H201" s="28">
        <f t="shared" si="7"/>
        <v>108</v>
      </c>
    </row>
    <row r="202" spans="1:8" hidden="1" x14ac:dyDescent="0.3">
      <c r="A202" s="23" t="s">
        <v>68</v>
      </c>
      <c r="B202" s="12" cm="1">
        <f t="array" ref="B202">_xlfn.XLOOKUP(1,('Cleaned Data 2020 - 2024'!$B:$B=Calculations!A202)*('Cleaned Data 2020 - 2024'!$K:$K=$B$173),'Cleaned Data 2020 - 2024'!$D:$D)</f>
        <v>638740</v>
      </c>
      <c r="C202" s="12" cm="1">
        <f t="array" ref="C202">_xlfn.XLOOKUP(1,('Cleaned Data 2020 - 2024'!B:B=A202)*('Cleaned Data 2020 - 2024'!K:K=$C$173),'Cleaned Data 2020 - 2024'!D:D)</f>
        <v>648310</v>
      </c>
      <c r="D202" s="12" cm="1">
        <f t="array" ref="D202">_xlfn.XLOOKUP(1,('Cleaned Data 2020 - 2024'!$B:$B=$A202)*('Cleaned Data 2020 - 2024'!$K:$K=$D$173),'Cleaned Data 2020 - 2024'!$D:$D)</f>
        <v>646670</v>
      </c>
      <c r="E202" s="12" cm="1">
        <f t="array" ref="E202">_xlfn.XLOOKUP(1,('Cleaned Data 2020 - 2024'!$B:$B=A202)*('Cleaned Data 2020 - 2024'!$K:$K=$E$173),'Cleaned Data 2020 - 2024'!$D:$D)</f>
        <v>640450</v>
      </c>
      <c r="F202" s="12" cm="1">
        <f t="array" ref="F202">_xlfn.XLOOKUP(1,('Cleaned Data 2020 - 2024'!$B:$B=A202)*('Cleaned Data 2020 - 2024'!$K:$K=$F$173),'Cleaned Data 2020 - 2024'!$D:$D)</f>
        <v>632350</v>
      </c>
      <c r="G202" s="27">
        <f t="shared" si="6"/>
        <v>-6390</v>
      </c>
      <c r="H202" s="28">
        <f t="shared" si="7"/>
        <v>101</v>
      </c>
    </row>
    <row r="203" spans="1:8" hidden="1" x14ac:dyDescent="0.3">
      <c r="A203" s="23" t="s">
        <v>38</v>
      </c>
      <c r="B203" s="12" cm="1">
        <f t="array" ref="B203">_xlfn.XLOOKUP(1,('Cleaned Data 2020 - 2024'!$B:$B=Calculations!A203)*('Cleaned Data 2020 - 2024'!$K:$K=$B$173),'Cleaned Data 2020 - 2024'!$D:$D)</f>
        <v>637710</v>
      </c>
      <c r="C203" s="12" cm="1">
        <f t="array" ref="C203">_xlfn.XLOOKUP(1,('Cleaned Data 2020 - 2024'!B:B=A203)*('Cleaned Data 2020 - 2024'!K:K=$C$173),'Cleaned Data 2020 - 2024'!D:D)</f>
        <v>637650</v>
      </c>
      <c r="D203" s="12" cm="1">
        <f t="array" ref="D203">_xlfn.XLOOKUP(1,('Cleaned Data 2020 - 2024'!$B:$B=$A203)*('Cleaned Data 2020 - 2024'!$K:$K=$D$173),'Cleaned Data 2020 - 2024'!$D:$D)</f>
        <v>648020</v>
      </c>
      <c r="E203" s="12" cm="1">
        <f t="array" ref="E203">_xlfn.XLOOKUP(1,('Cleaned Data 2020 - 2024'!$B:$B=A203)*('Cleaned Data 2020 - 2024'!$K:$K=$E$173),'Cleaned Data 2020 - 2024'!$D:$D)</f>
        <v>658670</v>
      </c>
      <c r="F203" s="12" cm="1">
        <f t="array" ref="F203">_xlfn.XLOOKUP(1,('Cleaned Data 2020 - 2024'!$B:$B=A203)*('Cleaned Data 2020 - 2024'!$K:$K=$F$173),'Cleaned Data 2020 - 2024'!$D:$D)</f>
        <v>652280</v>
      </c>
      <c r="G203" s="27">
        <f t="shared" si="6"/>
        <v>14570</v>
      </c>
      <c r="H203" s="28">
        <f t="shared" si="7"/>
        <v>51</v>
      </c>
    </row>
    <row r="204" spans="1:8" hidden="1" x14ac:dyDescent="0.3">
      <c r="A204" s="23" t="s">
        <v>30</v>
      </c>
      <c r="B204" s="12" cm="1">
        <f t="array" ref="B204">_xlfn.XLOOKUP(1,('Cleaned Data 2020 - 2024'!$B:$B=Calculations!A204)*('Cleaned Data 2020 - 2024'!$K:$K=$B$173),'Cleaned Data 2020 - 2024'!$D:$D)</f>
        <v>637560</v>
      </c>
      <c r="C204" s="12" cm="1">
        <f t="array" ref="C204">_xlfn.XLOOKUP(1,('Cleaned Data 2020 - 2024'!B:B=A204)*('Cleaned Data 2020 - 2024'!K:K=$C$173),'Cleaned Data 2020 - 2024'!D:D)</f>
        <v>633010</v>
      </c>
      <c r="D204" s="12" cm="1">
        <f t="array" ref="D204">_xlfn.XLOOKUP(1,('Cleaned Data 2020 - 2024'!$B:$B=$A204)*('Cleaned Data 2020 - 2024'!$K:$K=$D$173),'Cleaned Data 2020 - 2024'!$D:$D)</f>
        <v>629280</v>
      </c>
      <c r="E204" s="12" cm="1">
        <f t="array" ref="E204">_xlfn.XLOOKUP(1,('Cleaned Data 2020 - 2024'!$B:$B=A204)*('Cleaned Data 2020 - 2024'!$K:$K=$E$173),'Cleaned Data 2020 - 2024'!$D:$D)</f>
        <v>612460</v>
      </c>
      <c r="F204" s="12" cm="1">
        <f t="array" ref="F204">_xlfn.XLOOKUP(1,('Cleaned Data 2020 - 2024'!$B:$B=A204)*('Cleaned Data 2020 - 2024'!$K:$K=$F$173),'Cleaned Data 2020 - 2024'!$D:$D)</f>
        <v>627200</v>
      </c>
      <c r="G204" s="27">
        <f t="shared" si="6"/>
        <v>-10360</v>
      </c>
      <c r="H204" s="28">
        <f t="shared" si="7"/>
        <v>107</v>
      </c>
    </row>
    <row r="205" spans="1:8" hidden="1" x14ac:dyDescent="0.3">
      <c r="A205" s="23" t="s">
        <v>73</v>
      </c>
      <c r="B205" s="12" cm="1">
        <f t="array" ref="B205">_xlfn.XLOOKUP(1,('Cleaned Data 2020 - 2024'!$B:$B=Calculations!A205)*('Cleaned Data 2020 - 2024'!$K:$K=$B$173),'Cleaned Data 2020 - 2024'!$D:$D)</f>
        <v>636340</v>
      </c>
      <c r="C205" s="12" cm="1">
        <f t="array" ref="C205">_xlfn.XLOOKUP(1,('Cleaned Data 2020 - 2024'!B:B=A205)*('Cleaned Data 2020 - 2024'!K:K=$C$173),'Cleaned Data 2020 - 2024'!D:D)</f>
        <v>646070</v>
      </c>
      <c r="D205" s="12" cm="1">
        <f t="array" ref="D205">_xlfn.XLOOKUP(1,('Cleaned Data 2020 - 2024'!$B:$B=$A205)*('Cleaned Data 2020 - 2024'!$K:$K=$D$173),'Cleaned Data 2020 - 2024'!$D:$D)</f>
        <v>663010</v>
      </c>
      <c r="E205" s="12" cm="1">
        <f t="array" ref="E205">_xlfn.XLOOKUP(1,('Cleaned Data 2020 - 2024'!$B:$B=A205)*('Cleaned Data 2020 - 2024'!$K:$K=$E$173),'Cleaned Data 2020 - 2024'!$D:$D)</f>
        <v>664990</v>
      </c>
      <c r="F205" s="12" cm="1">
        <f t="array" ref="F205">_xlfn.XLOOKUP(1,('Cleaned Data 2020 - 2024'!$B:$B=A205)*('Cleaned Data 2020 - 2024'!$K:$K=$F$173),'Cleaned Data 2020 - 2024'!$D:$D)</f>
        <v>674330</v>
      </c>
      <c r="G205" s="27">
        <f t="shared" si="6"/>
        <v>37990</v>
      </c>
      <c r="H205" s="28">
        <f t="shared" si="7"/>
        <v>18</v>
      </c>
    </row>
    <row r="206" spans="1:8" hidden="1" x14ac:dyDescent="0.3">
      <c r="A206" s="23" t="s">
        <v>59</v>
      </c>
      <c r="B206" s="12" cm="1">
        <f t="array" ref="B206">_xlfn.XLOOKUP(1,('Cleaned Data 2020 - 2024'!$B:$B=Calculations!A206)*('Cleaned Data 2020 - 2024'!$K:$K=$B$173),'Cleaned Data 2020 - 2024'!$D:$D)</f>
        <v>634830</v>
      </c>
      <c r="C206" s="12" cm="1">
        <f t="array" ref="C206">_xlfn.XLOOKUP(1,('Cleaned Data 2020 - 2024'!B:B=A206)*('Cleaned Data 2020 - 2024'!K:K=$C$173),'Cleaned Data 2020 - 2024'!D:D)</f>
        <v>606050</v>
      </c>
      <c r="D206" s="12" cm="1">
        <f t="array" ref="D206">_xlfn.XLOOKUP(1,('Cleaned Data 2020 - 2024'!$B:$B=$A206)*('Cleaned Data 2020 - 2024'!$K:$K=$D$173),'Cleaned Data 2020 - 2024'!$D:$D)</f>
        <v>612000</v>
      </c>
      <c r="E206" s="12" cm="1">
        <f t="array" ref="E206">_xlfn.XLOOKUP(1,('Cleaned Data 2020 - 2024'!$B:$B=A206)*('Cleaned Data 2020 - 2024'!$K:$K=$E$173),'Cleaned Data 2020 - 2024'!$D:$D)</f>
        <v>612160</v>
      </c>
      <c r="F206" s="12" cm="1">
        <f t="array" ref="F206">_xlfn.XLOOKUP(1,('Cleaned Data 2020 - 2024'!$B:$B=A206)*('Cleaned Data 2020 - 2024'!$K:$K=$F$173),'Cleaned Data 2020 - 2024'!$D:$D)</f>
        <v>646870</v>
      </c>
      <c r="G206" s="27">
        <f t="shared" ref="G206:G237" si="8">F206-B206</f>
        <v>12040</v>
      </c>
      <c r="H206" s="28">
        <f t="shared" ref="H206:H237" si="9">_xlfn.RANK.EQ(G206,$G$174:$G$329,0)</f>
        <v>58</v>
      </c>
    </row>
    <row r="207" spans="1:8" hidden="1" x14ac:dyDescent="0.3">
      <c r="A207" s="23" t="s">
        <v>87</v>
      </c>
      <c r="B207" s="12" cm="1">
        <f t="array" ref="B207">_xlfn.XLOOKUP(1,('Cleaned Data 2020 - 2024'!$B:$B=Calculations!A207)*('Cleaned Data 2020 - 2024'!$K:$K=$B$173),'Cleaned Data 2020 - 2024'!$D:$D)</f>
        <v>632520</v>
      </c>
      <c r="C207" s="12" cm="1">
        <f t="array" ref="C207">_xlfn.XLOOKUP(1,('Cleaned Data 2020 - 2024'!B:B=A207)*('Cleaned Data 2020 - 2024'!K:K=$C$173),'Cleaned Data 2020 - 2024'!D:D)</f>
        <v>637200</v>
      </c>
      <c r="D207" s="12" cm="1">
        <f t="array" ref="D207">_xlfn.XLOOKUP(1,('Cleaned Data 2020 - 2024'!$B:$B=$A207)*('Cleaned Data 2020 - 2024'!$K:$K=$D$173),'Cleaned Data 2020 - 2024'!$D:$D)</f>
        <v>645510</v>
      </c>
      <c r="E207" s="12" cm="1">
        <f t="array" ref="E207">_xlfn.XLOOKUP(1,('Cleaned Data 2020 - 2024'!$B:$B=A207)*('Cleaned Data 2020 - 2024'!$K:$K=$E$173),'Cleaned Data 2020 - 2024'!$D:$D)</f>
        <v>636760</v>
      </c>
      <c r="F207" s="12" cm="1">
        <f t="array" ref="F207">_xlfn.XLOOKUP(1,('Cleaned Data 2020 - 2024'!$B:$B=A207)*('Cleaned Data 2020 - 2024'!$K:$K=$F$173),'Cleaned Data 2020 - 2024'!$D:$D)</f>
        <v>656100</v>
      </c>
      <c r="G207" s="27">
        <f t="shared" si="8"/>
        <v>23580</v>
      </c>
      <c r="H207" s="28">
        <f t="shared" si="9"/>
        <v>35</v>
      </c>
    </row>
    <row r="208" spans="1:8" hidden="1" x14ac:dyDescent="0.3">
      <c r="A208" s="23" t="s">
        <v>40</v>
      </c>
      <c r="B208" s="12" cm="1">
        <f t="array" ref="B208">_xlfn.XLOOKUP(1,('Cleaned Data 2020 - 2024'!$B:$B=Calculations!A208)*('Cleaned Data 2020 - 2024'!$K:$K=$B$173),'Cleaned Data 2020 - 2024'!$D:$D)</f>
        <v>630480</v>
      </c>
      <c r="C208" s="12" cm="1">
        <f t="array" ref="C208">_xlfn.XLOOKUP(1,('Cleaned Data 2020 - 2024'!B:B=A208)*('Cleaned Data 2020 - 2024'!K:K=$C$173),'Cleaned Data 2020 - 2024'!D:D)</f>
        <v>617960</v>
      </c>
      <c r="D208" s="12" cm="1">
        <f t="array" ref="D208">_xlfn.XLOOKUP(1,('Cleaned Data 2020 - 2024'!$B:$B=$A208)*('Cleaned Data 2020 - 2024'!$K:$K=$D$173),'Cleaned Data 2020 - 2024'!$D:$D)</f>
        <v>630910</v>
      </c>
      <c r="E208" s="12" cm="1">
        <f t="array" ref="E208">_xlfn.XLOOKUP(1,('Cleaned Data 2020 - 2024'!$B:$B=A208)*('Cleaned Data 2020 - 2024'!$K:$K=$E$173),'Cleaned Data 2020 - 2024'!$D:$D)</f>
        <v>626450</v>
      </c>
      <c r="F208" s="12" cm="1">
        <f t="array" ref="F208">_xlfn.XLOOKUP(1,('Cleaned Data 2020 - 2024'!$B:$B=A208)*('Cleaned Data 2020 - 2024'!$K:$K=$F$173),'Cleaned Data 2020 - 2024'!$D:$D)</f>
        <v>635820</v>
      </c>
      <c r="G208" s="27">
        <f t="shared" si="8"/>
        <v>5340</v>
      </c>
      <c r="H208" s="28">
        <f t="shared" si="9"/>
        <v>63</v>
      </c>
    </row>
    <row r="209" spans="1:8" hidden="1" x14ac:dyDescent="0.3">
      <c r="A209" s="23" t="s">
        <v>63</v>
      </c>
      <c r="B209" s="12" cm="1">
        <f t="array" ref="B209">_xlfn.XLOOKUP(1,('Cleaned Data 2020 - 2024'!$B:$B=Calculations!A209)*('Cleaned Data 2020 - 2024'!$K:$K=$B$173),'Cleaned Data 2020 - 2024'!$D:$D)</f>
        <v>628060</v>
      </c>
      <c r="C209" s="12" cm="1">
        <f t="array" ref="C209">_xlfn.XLOOKUP(1,('Cleaned Data 2020 - 2024'!B:B=A209)*('Cleaned Data 2020 - 2024'!K:K=$C$173),'Cleaned Data 2020 - 2024'!D:D)</f>
        <v>633090</v>
      </c>
      <c r="D209" s="12" cm="1">
        <f t="array" ref="D209">_xlfn.XLOOKUP(1,('Cleaned Data 2020 - 2024'!$B:$B=$A209)*('Cleaned Data 2020 - 2024'!$K:$K=$D$173),'Cleaned Data 2020 - 2024'!$D:$D)</f>
        <v>639070</v>
      </c>
      <c r="E209" s="12" cm="1">
        <f t="array" ref="E209">_xlfn.XLOOKUP(1,('Cleaned Data 2020 - 2024'!$B:$B=A209)*('Cleaned Data 2020 - 2024'!$K:$K=$E$173),'Cleaned Data 2020 - 2024'!$D:$D)</f>
        <v>646860</v>
      </c>
      <c r="F209" s="12" cm="1">
        <f t="array" ref="F209">_xlfn.XLOOKUP(1,('Cleaned Data 2020 - 2024'!$B:$B=A209)*('Cleaned Data 2020 - 2024'!$K:$K=$F$173),'Cleaned Data 2020 - 2024'!$D:$D)</f>
        <v>625710</v>
      </c>
      <c r="G209" s="27">
        <f t="shared" si="8"/>
        <v>-2350</v>
      </c>
      <c r="H209" s="28">
        <f t="shared" si="9"/>
        <v>93</v>
      </c>
    </row>
    <row r="210" spans="1:8" hidden="1" x14ac:dyDescent="0.3">
      <c r="A210" s="23" t="s">
        <v>61</v>
      </c>
      <c r="B210" s="12" cm="1">
        <f t="array" ref="B210">_xlfn.XLOOKUP(1,('Cleaned Data 2020 - 2024'!$B:$B=Calculations!A210)*('Cleaned Data 2020 - 2024'!$K:$K=$B$173),'Cleaned Data 2020 - 2024'!$D:$D)</f>
        <v>625760</v>
      </c>
      <c r="C210" s="12" cm="1">
        <f t="array" ref="C210">_xlfn.XLOOKUP(1,('Cleaned Data 2020 - 2024'!B:B=A210)*('Cleaned Data 2020 - 2024'!K:K=$C$173),'Cleaned Data 2020 - 2024'!D:D)</f>
        <v>617880</v>
      </c>
      <c r="D210" s="12" cm="1">
        <f t="array" ref="D210">_xlfn.XLOOKUP(1,('Cleaned Data 2020 - 2024'!$B:$B=$A210)*('Cleaned Data 2020 - 2024'!$K:$K=$D$173),'Cleaned Data 2020 - 2024'!$D:$D)</f>
        <v>606270</v>
      </c>
      <c r="E210" s="12" cm="1">
        <f t="array" ref="E210">_xlfn.XLOOKUP(1,('Cleaned Data 2020 - 2024'!$B:$B=A210)*('Cleaned Data 2020 - 2024'!$K:$K=$E$173),'Cleaned Data 2020 - 2024'!$D:$D)</f>
        <v>601430</v>
      </c>
      <c r="F210" s="12" cm="1">
        <f t="array" ref="F210">_xlfn.XLOOKUP(1,('Cleaned Data 2020 - 2024'!$B:$B=A210)*('Cleaned Data 2020 - 2024'!$K:$K=$F$173),'Cleaned Data 2020 - 2024'!$D:$D)</f>
        <v>619500</v>
      </c>
      <c r="G210" s="27">
        <f t="shared" si="8"/>
        <v>-6260</v>
      </c>
      <c r="H210" s="28">
        <f t="shared" si="9"/>
        <v>99</v>
      </c>
    </row>
    <row r="211" spans="1:8" hidden="1" x14ac:dyDescent="0.3">
      <c r="A211" s="23" t="s">
        <v>42</v>
      </c>
      <c r="B211" s="12" cm="1">
        <f t="array" ref="B211">_xlfn.XLOOKUP(1,('Cleaned Data 2020 - 2024'!$B:$B=Calculations!A211)*('Cleaned Data 2020 - 2024'!$K:$K=$B$173),'Cleaned Data 2020 - 2024'!$D:$D)</f>
        <v>622850</v>
      </c>
      <c r="C211" s="12" cm="1">
        <f t="array" ref="C211">_xlfn.XLOOKUP(1,('Cleaned Data 2020 - 2024'!B:B=A211)*('Cleaned Data 2020 - 2024'!K:K=$C$173),'Cleaned Data 2020 - 2024'!D:D)</f>
        <v>617190</v>
      </c>
      <c r="D211" s="12" cm="1">
        <f t="array" ref="D211">_xlfn.XLOOKUP(1,('Cleaned Data 2020 - 2024'!$B:$B=$A211)*('Cleaned Data 2020 - 2024'!$K:$K=$D$173),'Cleaned Data 2020 - 2024'!$D:$D)</f>
        <v>617180</v>
      </c>
      <c r="E211" s="12" cm="1">
        <f t="array" ref="E211">_xlfn.XLOOKUP(1,('Cleaned Data 2020 - 2024'!$B:$B=A211)*('Cleaned Data 2020 - 2024'!$K:$K=$E$173),'Cleaned Data 2020 - 2024'!$D:$D)</f>
        <v>633380</v>
      </c>
      <c r="F211" s="12" cm="1">
        <f t="array" ref="F211">_xlfn.XLOOKUP(1,('Cleaned Data 2020 - 2024'!$B:$B=A211)*('Cleaned Data 2020 - 2024'!$K:$K=$F$173),'Cleaned Data 2020 - 2024'!$D:$D)</f>
        <v>636030</v>
      </c>
      <c r="G211" s="27">
        <f t="shared" si="8"/>
        <v>13180</v>
      </c>
      <c r="H211" s="28">
        <f t="shared" si="9"/>
        <v>54</v>
      </c>
    </row>
    <row r="212" spans="1:8" hidden="1" x14ac:dyDescent="0.3">
      <c r="A212" s="23" t="s">
        <v>67</v>
      </c>
      <c r="B212" s="12" cm="1">
        <f t="array" ref="B212">_xlfn.XLOOKUP(1,('Cleaned Data 2020 - 2024'!$B:$B=Calculations!A212)*('Cleaned Data 2020 - 2024'!$K:$K=$B$173),'Cleaned Data 2020 - 2024'!$D:$D)</f>
        <v>622730</v>
      </c>
      <c r="C212" s="12" cm="1">
        <f t="array" ref="C212">_xlfn.XLOOKUP(1,('Cleaned Data 2020 - 2024'!B:B=A212)*('Cleaned Data 2020 - 2024'!K:K=$C$173),'Cleaned Data 2020 - 2024'!D:D)</f>
        <v>664690</v>
      </c>
      <c r="D212" s="12" cm="1">
        <f t="array" ref="D212">_xlfn.XLOOKUP(1,('Cleaned Data 2020 - 2024'!$B:$B=$A212)*('Cleaned Data 2020 - 2024'!$K:$K=$D$173),'Cleaned Data 2020 - 2024'!$D:$D)</f>
        <v>664690</v>
      </c>
      <c r="E212" s="12" cm="1">
        <f t="array" ref="E212">_xlfn.XLOOKUP(1,('Cleaned Data 2020 - 2024'!$B:$B=A212)*('Cleaned Data 2020 - 2024'!$K:$K=$E$173),'Cleaned Data 2020 - 2024'!$D:$D)</f>
        <v>617320</v>
      </c>
      <c r="F212" s="12">
        <f>AVERAGE(B212:E212)</f>
        <v>642357.5</v>
      </c>
      <c r="G212" s="27">
        <f t="shared" si="8"/>
        <v>19627.5</v>
      </c>
      <c r="H212" s="28">
        <f t="shared" si="9"/>
        <v>41</v>
      </c>
    </row>
    <row r="213" spans="1:8" x14ac:dyDescent="0.3">
      <c r="A213" s="23" t="s">
        <v>74</v>
      </c>
      <c r="B213" s="12" cm="1">
        <f t="array" ref="B213">_xlfn.XLOOKUP(1,('Cleaned Data 2020 - 2024'!$B:$B=Calculations!A213)*('Cleaned Data 2020 - 2024'!$K:$K=$B$173),'Cleaned Data 2020 - 2024'!$D:$D)</f>
        <v>621550</v>
      </c>
      <c r="C213" s="12" cm="1">
        <f t="array" ref="C213">_xlfn.XLOOKUP(1,('Cleaned Data 2020 - 2024'!B:B=A213)*('Cleaned Data 2020 - 2024'!K:K=$C$173),'Cleaned Data 2020 - 2024'!D:D)</f>
        <v>625540</v>
      </c>
      <c r="D213" s="12" cm="1">
        <f t="array" ref="D213">_xlfn.XLOOKUP(1,('Cleaned Data 2020 - 2024'!$B:$B=$A213)*('Cleaned Data 2020 - 2024'!$K:$K=$D$173),'Cleaned Data 2020 - 2024'!$D:$D)</f>
        <v>644560</v>
      </c>
      <c r="E213" s="12" cm="1">
        <f t="array" ref="E213">_xlfn.XLOOKUP(1,('Cleaned Data 2020 - 2024'!$B:$B=A213)*('Cleaned Data 2020 - 2024'!$K:$K=$E$173),'Cleaned Data 2020 - 2024'!$D:$D)</f>
        <v>676300</v>
      </c>
      <c r="F213" s="12" cm="1">
        <f t="array" ref="F213">_xlfn.XLOOKUP(1,('Cleaned Data 2020 - 2024'!$B:$B=A213)*('Cleaned Data 2020 - 2024'!$K:$K=$F$173),'Cleaned Data 2020 - 2024'!$D:$D)</f>
        <v>681750</v>
      </c>
      <c r="G213" s="27">
        <f t="shared" si="8"/>
        <v>60200</v>
      </c>
      <c r="H213" s="28">
        <f t="shared" si="9"/>
        <v>7</v>
      </c>
    </row>
    <row r="214" spans="1:8" hidden="1" x14ac:dyDescent="0.3">
      <c r="A214" s="23" t="s">
        <v>58</v>
      </c>
      <c r="B214" s="12" cm="1">
        <f t="array" ref="B214">_xlfn.XLOOKUP(1,('Cleaned Data 2020 - 2024'!$B:$B=Calculations!A214)*('Cleaned Data 2020 - 2024'!$K:$K=$B$173),'Cleaned Data 2020 - 2024'!$D:$D)</f>
        <v>619190</v>
      </c>
      <c r="C214" s="12">
        <f>B214</f>
        <v>619190</v>
      </c>
      <c r="D214" s="12">
        <f>C214</f>
        <v>619190</v>
      </c>
      <c r="E214" s="12">
        <f>D214</f>
        <v>619190</v>
      </c>
      <c r="F214" s="12">
        <f>E214</f>
        <v>619190</v>
      </c>
      <c r="G214" s="27">
        <f t="shared" si="8"/>
        <v>0</v>
      </c>
      <c r="H214" s="28">
        <f t="shared" si="9"/>
        <v>82</v>
      </c>
    </row>
    <row r="215" spans="1:8" hidden="1" x14ac:dyDescent="0.3">
      <c r="A215" s="23" t="s">
        <v>78</v>
      </c>
      <c r="B215" s="12" cm="1">
        <f t="array" ref="B215">_xlfn.XLOOKUP(1,('Cleaned Data 2020 - 2024'!$B:$B=Calculations!A215)*('Cleaned Data 2020 - 2024'!$K:$K=$B$173),'Cleaned Data 2020 - 2024'!$D:$D)</f>
        <v>618630</v>
      </c>
      <c r="C215" s="12" cm="1">
        <f t="array" ref="C215">_xlfn.XLOOKUP(1,('Cleaned Data 2020 - 2024'!B:B=A215)*('Cleaned Data 2020 - 2024'!K:K=$C$173),'Cleaned Data 2020 - 2024'!D:D)</f>
        <v>616610</v>
      </c>
      <c r="D215" s="12" cm="1">
        <f t="array" ref="D215">_xlfn.XLOOKUP(1,('Cleaned Data 2020 - 2024'!$B:$B=$A215)*('Cleaned Data 2020 - 2024'!$K:$K=$D$173),'Cleaned Data 2020 - 2024'!$D:$D)</f>
        <v>612280</v>
      </c>
      <c r="E215" s="12" cm="1">
        <f t="array" ref="E215">_xlfn.XLOOKUP(1,('Cleaned Data 2020 - 2024'!$B:$B=A215)*('Cleaned Data 2020 - 2024'!$K:$K=$E$173),'Cleaned Data 2020 - 2024'!$D:$D)</f>
        <v>625970</v>
      </c>
      <c r="F215" s="12" cm="1">
        <f t="array" ref="F215">_xlfn.XLOOKUP(1,('Cleaned Data 2020 - 2024'!$B:$B=A215)*('Cleaned Data 2020 - 2024'!$K:$K=$F$173),'Cleaned Data 2020 - 2024'!$D:$D)</f>
        <v>644150</v>
      </c>
      <c r="G215" s="27">
        <f t="shared" si="8"/>
        <v>25520</v>
      </c>
      <c r="H215" s="28">
        <f t="shared" si="9"/>
        <v>30</v>
      </c>
    </row>
    <row r="216" spans="1:8" hidden="1" x14ac:dyDescent="0.3">
      <c r="A216" s="23" t="s">
        <v>49</v>
      </c>
      <c r="B216" s="12" cm="1">
        <f t="array" ref="B216">_xlfn.XLOOKUP(1,('Cleaned Data 2020 - 2024'!$B:$B=Calculations!A216)*('Cleaned Data 2020 - 2024'!$K:$K=$B$173),'Cleaned Data 2020 - 2024'!$D:$D)</f>
        <v>616340</v>
      </c>
      <c r="C216" s="12" cm="1">
        <f t="array" ref="C216">_xlfn.XLOOKUP(1,('Cleaned Data 2020 - 2024'!B:B=A216)*('Cleaned Data 2020 - 2024'!K:K=$C$173),'Cleaned Data 2020 - 2024'!D:D)</f>
        <v>601240</v>
      </c>
      <c r="D216" s="12" cm="1">
        <f t="array" ref="D216">_xlfn.XLOOKUP(1,('Cleaned Data 2020 - 2024'!$B:$B=$A216)*('Cleaned Data 2020 - 2024'!$K:$K=$D$173),'Cleaned Data 2020 - 2024'!$D:$D)</f>
        <v>578060</v>
      </c>
      <c r="E216" s="12" cm="1">
        <f t="array" ref="E216">_xlfn.XLOOKUP(1,('Cleaned Data 2020 - 2024'!$B:$B=A216)*('Cleaned Data 2020 - 2024'!$K:$K=$E$173),'Cleaned Data 2020 - 2024'!$D:$D)</f>
        <v>563040</v>
      </c>
      <c r="F216" s="12" cm="1">
        <f t="array" ref="F216">_xlfn.XLOOKUP(1,('Cleaned Data 2020 - 2024'!$B:$B=A216)*('Cleaned Data 2020 - 2024'!$K:$K=$F$173),'Cleaned Data 2020 - 2024'!$D:$D)</f>
        <v>569510</v>
      </c>
      <c r="G216" s="27">
        <f t="shared" si="8"/>
        <v>-46830</v>
      </c>
      <c r="H216" s="28">
        <f t="shared" si="9"/>
        <v>143</v>
      </c>
    </row>
    <row r="217" spans="1:8" hidden="1" x14ac:dyDescent="0.3">
      <c r="A217" s="23" t="s">
        <v>85</v>
      </c>
      <c r="B217" s="12" cm="1">
        <f t="array" ref="B217">_xlfn.XLOOKUP(1,('Cleaned Data 2020 - 2024'!$B:$B=Calculations!A217)*('Cleaned Data 2020 - 2024'!$K:$K=$B$173),'Cleaned Data 2020 - 2024'!$D:$D)</f>
        <v>615900</v>
      </c>
      <c r="C217" s="12" cm="1">
        <f t="array" ref="C217">_xlfn.XLOOKUP(1,('Cleaned Data 2020 - 2024'!B:B=A217)*('Cleaned Data 2020 - 2024'!K:K=$C$173),'Cleaned Data 2020 - 2024'!D:D)</f>
        <v>622350</v>
      </c>
      <c r="D217" s="12" cm="1">
        <f t="array" ref="D217">_xlfn.XLOOKUP(1,('Cleaned Data 2020 - 2024'!$B:$B=$A217)*('Cleaned Data 2020 - 2024'!$K:$K=$D$173),'Cleaned Data 2020 - 2024'!$D:$D)</f>
        <v>622090</v>
      </c>
      <c r="E217" s="12" cm="1">
        <f t="array" ref="E217">_xlfn.XLOOKUP(1,('Cleaned Data 2020 - 2024'!$B:$B=A217)*('Cleaned Data 2020 - 2024'!$K:$K=$E$173),'Cleaned Data 2020 - 2024'!$D:$D)</f>
        <v>613000</v>
      </c>
      <c r="F217" s="12" cm="1">
        <f t="array" ref="F217">_xlfn.XLOOKUP(1,('Cleaned Data 2020 - 2024'!$B:$B=A217)*('Cleaned Data 2020 - 2024'!$K:$K=$F$173),'Cleaned Data 2020 - 2024'!$D:$D)</f>
        <v>606810</v>
      </c>
      <c r="G217" s="27">
        <f t="shared" si="8"/>
        <v>-9090</v>
      </c>
      <c r="H217" s="28">
        <f t="shared" si="9"/>
        <v>105</v>
      </c>
    </row>
    <row r="218" spans="1:8" hidden="1" x14ac:dyDescent="0.3">
      <c r="A218" s="23" t="s">
        <v>75</v>
      </c>
      <c r="B218" s="12" cm="1">
        <f t="array" ref="B218">_xlfn.XLOOKUP(1,('Cleaned Data 2020 - 2024'!$B:$B=Calculations!A218)*('Cleaned Data 2020 - 2024'!$K:$K=$B$173),'Cleaned Data 2020 - 2024'!$D:$D)</f>
        <v>613710</v>
      </c>
      <c r="C218" s="12" cm="1">
        <f t="array" ref="C218">_xlfn.XLOOKUP(1,('Cleaned Data 2020 - 2024'!B:B=A218)*('Cleaned Data 2020 - 2024'!K:K=$C$173),'Cleaned Data 2020 - 2024'!D:D)</f>
        <v>597210</v>
      </c>
      <c r="D218" s="12" cm="1">
        <f t="array" ref="D218">_xlfn.XLOOKUP(1,('Cleaned Data 2020 - 2024'!$B:$B=$A218)*('Cleaned Data 2020 - 2024'!$K:$K=$D$173),'Cleaned Data 2020 - 2024'!$D:$D)</f>
        <v>616460</v>
      </c>
      <c r="E218" s="12" cm="1">
        <f t="array" ref="E218">_xlfn.XLOOKUP(1,('Cleaned Data 2020 - 2024'!$B:$B=A218)*('Cleaned Data 2020 - 2024'!$K:$K=$E$173),'Cleaned Data 2020 - 2024'!$D:$D)</f>
        <v>625880</v>
      </c>
      <c r="F218" s="12" cm="1">
        <f t="array" ref="F218">_xlfn.XLOOKUP(1,('Cleaned Data 2020 - 2024'!$B:$B=A218)*('Cleaned Data 2020 - 2024'!$K:$K=$F$173),'Cleaned Data 2020 - 2024'!$D:$D)</f>
        <v>628390</v>
      </c>
      <c r="G218" s="27">
        <f t="shared" si="8"/>
        <v>14680</v>
      </c>
      <c r="H218" s="28">
        <f t="shared" si="9"/>
        <v>50</v>
      </c>
    </row>
    <row r="219" spans="1:8" hidden="1" x14ac:dyDescent="0.3">
      <c r="A219" s="23" t="s">
        <v>106</v>
      </c>
      <c r="B219" s="12" cm="1">
        <f t="array" ref="B219">_xlfn.XLOOKUP(1,('Cleaned Data 2020 - 2024'!$B:$B=Calculations!A219)*('Cleaned Data 2020 - 2024'!$K:$K=$B$173),'Cleaned Data 2020 - 2024'!$D:$D)</f>
        <v>612370</v>
      </c>
      <c r="C219" s="12" cm="1">
        <f t="array" ref="C219">_xlfn.XLOOKUP(1,('Cleaned Data 2020 - 2024'!B:B=A219)*('Cleaned Data 2020 - 2024'!K:K=$C$173),'Cleaned Data 2020 - 2024'!D:D)</f>
        <v>614000</v>
      </c>
      <c r="D219" s="12" cm="1">
        <f t="array" ref="D219">_xlfn.XLOOKUP(1,('Cleaned Data 2020 - 2024'!$B:$B=$A219)*('Cleaned Data 2020 - 2024'!$K:$K=$D$173),'Cleaned Data 2020 - 2024'!$D:$D)</f>
        <v>647700</v>
      </c>
      <c r="E219" s="12" cm="1">
        <f t="array" ref="E219">_xlfn.XLOOKUP(1,('Cleaned Data 2020 - 2024'!$B:$B=A219)*('Cleaned Data 2020 - 2024'!$K:$K=$E$173),'Cleaned Data 2020 - 2024'!$D:$D)</f>
        <v>658910</v>
      </c>
      <c r="F219" s="12" cm="1">
        <f t="array" ref="F219">_xlfn.XLOOKUP(1,('Cleaned Data 2020 - 2024'!$B:$B=A219)*('Cleaned Data 2020 - 2024'!$K:$K=$F$173),'Cleaned Data 2020 - 2024'!$D:$D)</f>
        <v>649120</v>
      </c>
      <c r="G219" s="27">
        <f t="shared" si="8"/>
        <v>36750</v>
      </c>
      <c r="H219" s="28">
        <f t="shared" si="9"/>
        <v>20</v>
      </c>
    </row>
    <row r="220" spans="1:8" x14ac:dyDescent="0.3">
      <c r="A220" s="23" t="s">
        <v>56</v>
      </c>
      <c r="B220" s="12" cm="1">
        <f t="array" ref="B220">_xlfn.XLOOKUP(1,('Cleaned Data 2020 - 2024'!$B:$B=Calculations!A220)*('Cleaned Data 2020 - 2024'!$K:$K=$B$173),'Cleaned Data 2020 - 2024'!$D:$D)</f>
        <v>610210</v>
      </c>
      <c r="C220" s="12" cm="1">
        <f t="array" ref="C220">_xlfn.XLOOKUP(1,('Cleaned Data 2020 - 2024'!B:B=A220)*('Cleaned Data 2020 - 2024'!K:K=$C$173),'Cleaned Data 2020 - 2024'!D:D)</f>
        <v>610610</v>
      </c>
      <c r="D220" s="12" cm="1">
        <f t="array" ref="D220">_xlfn.XLOOKUP(1,('Cleaned Data 2020 - 2024'!$B:$B=$A220)*('Cleaned Data 2020 - 2024'!$K:$K=$D$173),'Cleaned Data 2020 - 2024'!$D:$D)</f>
        <v>610610</v>
      </c>
      <c r="E220" s="12">
        <f>AVERAGE(B220,C220,D220,F220)</f>
        <v>631642.5</v>
      </c>
      <c r="F220" s="12" cm="1">
        <f t="array" ref="F220">_xlfn.XLOOKUP(1,('Cleaned Data 2020 - 2024'!$B:$B=A220)*('Cleaned Data 2020 - 2024'!$K:$K=$F$173),'Cleaned Data 2020 - 2024'!$D:$D)</f>
        <v>695140</v>
      </c>
      <c r="G220" s="27">
        <f t="shared" si="8"/>
        <v>84930</v>
      </c>
      <c r="H220" s="28">
        <f t="shared" si="9"/>
        <v>1</v>
      </c>
    </row>
    <row r="221" spans="1:8" hidden="1" x14ac:dyDescent="0.3">
      <c r="A221" s="23" t="s">
        <v>89</v>
      </c>
      <c r="B221" s="12" cm="1">
        <f t="array" ref="B221">_xlfn.XLOOKUP(1,('Cleaned Data 2020 - 2024'!$B:$B=Calculations!A221)*('Cleaned Data 2020 - 2024'!$K:$K=$B$173),'Cleaned Data 2020 - 2024'!$D:$D)</f>
        <v>610130</v>
      </c>
      <c r="C221" s="12" cm="1">
        <f t="array" ref="C221">_xlfn.XLOOKUP(1,('Cleaned Data 2020 - 2024'!B:B=A221)*('Cleaned Data 2020 - 2024'!K:K=$C$173),'Cleaned Data 2020 - 2024'!D:D)</f>
        <v>604900</v>
      </c>
      <c r="D221" s="12" cm="1">
        <f t="array" ref="D221">_xlfn.XLOOKUP(1,('Cleaned Data 2020 - 2024'!$B:$B=$A221)*('Cleaned Data 2020 - 2024'!$K:$K=$D$173),'Cleaned Data 2020 - 2024'!$D:$D)</f>
        <v>607110</v>
      </c>
      <c r="E221" s="12" cm="1">
        <f t="array" ref="E221">_xlfn.XLOOKUP(1,('Cleaned Data 2020 - 2024'!$B:$B=A221)*('Cleaned Data 2020 - 2024'!$K:$K=$E$173),'Cleaned Data 2020 - 2024'!$D:$D)</f>
        <v>590230</v>
      </c>
      <c r="F221" s="12" cm="1">
        <f t="array" ref="F221">_xlfn.XLOOKUP(1,('Cleaned Data 2020 - 2024'!$B:$B=A221)*('Cleaned Data 2020 - 2024'!$K:$K=$F$173),'Cleaned Data 2020 - 2024'!$D:$D)</f>
        <v>581640</v>
      </c>
      <c r="G221" s="27">
        <f t="shared" si="8"/>
        <v>-28490</v>
      </c>
      <c r="H221" s="28">
        <f t="shared" si="9"/>
        <v>130</v>
      </c>
    </row>
    <row r="222" spans="1:8" hidden="1" x14ac:dyDescent="0.3">
      <c r="A222" s="23" t="s">
        <v>72</v>
      </c>
      <c r="B222" s="12" cm="1">
        <f t="array" ref="B222">_xlfn.XLOOKUP(1,('Cleaned Data 2020 - 2024'!$B:$B=Calculations!A222)*('Cleaned Data 2020 - 2024'!$K:$K=$B$173),'Cleaned Data 2020 - 2024'!$D:$D)</f>
        <v>605790</v>
      </c>
      <c r="C222" s="12" cm="1">
        <f t="array" ref="C222">_xlfn.XLOOKUP(1,('Cleaned Data 2020 - 2024'!B:B=A222)*('Cleaned Data 2020 - 2024'!K:K=$C$173),'Cleaned Data 2020 - 2024'!D:D)</f>
        <v>615180</v>
      </c>
      <c r="D222" s="12" cm="1">
        <f t="array" ref="D222">_xlfn.XLOOKUP(1,('Cleaned Data 2020 - 2024'!$B:$B=$A222)*('Cleaned Data 2020 - 2024'!$K:$K=$D$173),'Cleaned Data 2020 - 2024'!$D:$D)</f>
        <v>623410</v>
      </c>
      <c r="E222" s="12" cm="1">
        <f t="array" ref="E222">_xlfn.XLOOKUP(1,('Cleaned Data 2020 - 2024'!$B:$B=A222)*('Cleaned Data 2020 - 2024'!$K:$K=$E$173),'Cleaned Data 2020 - 2024'!$D:$D)</f>
        <v>614390</v>
      </c>
      <c r="F222" s="12" cm="1">
        <f t="array" ref="F222">_xlfn.XLOOKUP(1,('Cleaned Data 2020 - 2024'!$B:$B=A222)*('Cleaned Data 2020 - 2024'!$K:$K=$F$173),'Cleaned Data 2020 - 2024'!$D:$D)</f>
        <v>618750</v>
      </c>
      <c r="G222" s="27">
        <f t="shared" si="8"/>
        <v>12960</v>
      </c>
      <c r="H222" s="28">
        <f t="shared" si="9"/>
        <v>56</v>
      </c>
    </row>
    <row r="223" spans="1:8" hidden="1" x14ac:dyDescent="0.3">
      <c r="A223" s="23" t="s">
        <v>92</v>
      </c>
      <c r="B223" s="12" cm="1">
        <f t="array" ref="B223">_xlfn.XLOOKUP(1,('Cleaned Data 2020 - 2024'!$B:$B=Calculations!A223)*('Cleaned Data 2020 - 2024'!$K:$K=$B$173),'Cleaned Data 2020 - 2024'!$D:$D)</f>
        <v>602180</v>
      </c>
      <c r="C223" s="12" cm="1">
        <f t="array" ref="C223">_xlfn.XLOOKUP(1,('Cleaned Data 2020 - 2024'!B:B=A223)*('Cleaned Data 2020 - 2024'!K:K=$C$173),'Cleaned Data 2020 - 2024'!D:D)</f>
        <v>618880</v>
      </c>
      <c r="D223" s="12" cm="1">
        <f t="array" ref="D223">_xlfn.XLOOKUP(1,('Cleaned Data 2020 - 2024'!$B:$B=$A223)*('Cleaned Data 2020 - 2024'!$K:$K=$D$173),'Cleaned Data 2020 - 2024'!$D:$D)</f>
        <v>634080</v>
      </c>
      <c r="E223" s="12" cm="1">
        <f t="array" ref="E223">_xlfn.XLOOKUP(1,('Cleaned Data 2020 - 2024'!$B:$B=A223)*('Cleaned Data 2020 - 2024'!$K:$K=$E$173),'Cleaned Data 2020 - 2024'!$D:$D)</f>
        <v>645520</v>
      </c>
      <c r="F223" s="12" cm="1">
        <f t="array" ref="F223">_xlfn.XLOOKUP(1,('Cleaned Data 2020 - 2024'!$B:$B=A223)*('Cleaned Data 2020 - 2024'!$K:$K=$F$173),'Cleaned Data 2020 - 2024'!$D:$D)</f>
        <v>644770</v>
      </c>
      <c r="G223" s="27">
        <f t="shared" si="8"/>
        <v>42590</v>
      </c>
      <c r="H223" s="28">
        <f t="shared" si="9"/>
        <v>14</v>
      </c>
    </row>
    <row r="224" spans="1:8" hidden="1" x14ac:dyDescent="0.3">
      <c r="A224" s="23" t="s">
        <v>110</v>
      </c>
      <c r="B224" s="12" cm="1">
        <f t="array" ref="B224">_xlfn.XLOOKUP(1,('Cleaned Data 2020 - 2024'!$B:$B=Calculations!A224)*('Cleaned Data 2020 - 2024'!$K:$K=$B$173),'Cleaned Data 2020 - 2024'!$D:$D)</f>
        <v>600600</v>
      </c>
      <c r="C224" s="12" cm="1">
        <f t="array" ref="C224">_xlfn.XLOOKUP(1,('Cleaned Data 2020 - 2024'!B:B=A224)*('Cleaned Data 2020 - 2024'!K:K=$C$173),'Cleaned Data 2020 - 2024'!D:D)</f>
        <v>588020</v>
      </c>
      <c r="D224" s="12" cm="1">
        <f t="array" ref="D224">_xlfn.XLOOKUP(1,('Cleaned Data 2020 - 2024'!$B:$B=$A224)*('Cleaned Data 2020 - 2024'!$K:$K=$D$173),'Cleaned Data 2020 - 2024'!$D:$D)</f>
        <v>590360</v>
      </c>
      <c r="E224" s="12" cm="1">
        <f t="array" ref="E224">_xlfn.XLOOKUP(1,('Cleaned Data 2020 - 2024'!$B:$B=A224)*('Cleaned Data 2020 - 2024'!$K:$K=$E$173),'Cleaned Data 2020 - 2024'!$D:$D)</f>
        <v>552290</v>
      </c>
      <c r="F224" s="12" cm="1">
        <f t="array" ref="F224">_xlfn.XLOOKUP(1,('Cleaned Data 2020 - 2024'!$B:$B=A224)*('Cleaned Data 2020 - 2024'!$K:$K=$F$173),'Cleaned Data 2020 - 2024'!$D:$D)</f>
        <v>604760</v>
      </c>
      <c r="G224" s="27">
        <f t="shared" si="8"/>
        <v>4160</v>
      </c>
      <c r="H224" s="28">
        <f t="shared" si="9"/>
        <v>69</v>
      </c>
    </row>
    <row r="225" spans="1:8" hidden="1" x14ac:dyDescent="0.3">
      <c r="A225" s="23" t="s">
        <v>124</v>
      </c>
      <c r="B225" s="12" cm="1">
        <f t="array" ref="B225">_xlfn.XLOOKUP(1,('Cleaned Data 2020 - 2024'!$B:$B=Calculations!A225)*('Cleaned Data 2020 - 2024'!$K:$K=$B$173),'Cleaned Data 2020 - 2024'!$D:$D)</f>
        <v>600040</v>
      </c>
      <c r="C225" s="12" cm="1">
        <f t="array" ref="C225">_xlfn.XLOOKUP(1,('Cleaned Data 2020 - 2024'!B:B=A225)*('Cleaned Data 2020 - 2024'!K:K=$C$173),'Cleaned Data 2020 - 2024'!D:D)</f>
        <v>599160</v>
      </c>
      <c r="D225" s="12" cm="1">
        <f t="array" ref="D225">_xlfn.XLOOKUP(1,('Cleaned Data 2020 - 2024'!$B:$B=$A225)*('Cleaned Data 2020 - 2024'!$K:$K=$D$173),'Cleaned Data 2020 - 2024'!$D:$D)</f>
        <v>608590</v>
      </c>
      <c r="E225" s="12" cm="1">
        <f t="array" ref="E225">_xlfn.XLOOKUP(1,('Cleaned Data 2020 - 2024'!$B:$B=A225)*('Cleaned Data 2020 - 2024'!$K:$K=$E$173),'Cleaned Data 2020 - 2024'!$D:$D)</f>
        <v>604120</v>
      </c>
      <c r="F225" s="12" cm="1">
        <f t="array" ref="F225">_xlfn.XLOOKUP(1,('Cleaned Data 2020 - 2024'!$B:$B=A225)*('Cleaned Data 2020 - 2024'!$K:$K=$F$173),'Cleaned Data 2020 - 2024'!$D:$D)</f>
        <v>601690</v>
      </c>
      <c r="G225" s="27">
        <f t="shared" si="8"/>
        <v>1650</v>
      </c>
      <c r="H225" s="28">
        <f t="shared" si="9"/>
        <v>80</v>
      </c>
    </row>
    <row r="226" spans="1:8" hidden="1" x14ac:dyDescent="0.3">
      <c r="A226" s="23" t="s">
        <v>50</v>
      </c>
      <c r="B226" s="12" cm="1">
        <f t="array" ref="B226">_xlfn.XLOOKUP(1,('Cleaned Data 2020 - 2024'!$B:$B=Calculations!A226)*('Cleaned Data 2020 - 2024'!$K:$K=$B$173),'Cleaned Data 2020 - 2024'!$D:$D)</f>
        <v>599880</v>
      </c>
      <c r="C226" s="12" cm="1">
        <f t="array" ref="C226">_xlfn.XLOOKUP(1,('Cleaned Data 2020 - 2024'!B:B=A226)*('Cleaned Data 2020 - 2024'!K:K=$C$173),'Cleaned Data 2020 - 2024'!D:D)</f>
        <v>598470</v>
      </c>
      <c r="D226" s="12" cm="1">
        <f t="array" ref="D226">_xlfn.XLOOKUP(1,('Cleaned Data 2020 - 2024'!$B:$B=$A226)*('Cleaned Data 2020 - 2024'!$K:$K=$D$173),'Cleaned Data 2020 - 2024'!$D:$D)</f>
        <v>589120</v>
      </c>
      <c r="E226" s="12" cm="1">
        <f t="array" ref="E226">_xlfn.XLOOKUP(1,('Cleaned Data 2020 - 2024'!$B:$B=A226)*('Cleaned Data 2020 - 2024'!$K:$K=$E$173),'Cleaned Data 2020 - 2024'!$D:$D)</f>
        <v>584300</v>
      </c>
      <c r="F226" s="12" cm="1">
        <f t="array" ref="F226">_xlfn.XLOOKUP(1,('Cleaned Data 2020 - 2024'!$B:$B=A226)*('Cleaned Data 2020 - 2024'!$K:$K=$F$173),'Cleaned Data 2020 - 2024'!$D:$D)</f>
        <v>597610</v>
      </c>
      <c r="G226" s="27">
        <f t="shared" si="8"/>
        <v>-2270</v>
      </c>
      <c r="H226" s="28">
        <f t="shared" si="9"/>
        <v>92</v>
      </c>
    </row>
    <row r="227" spans="1:8" hidden="1" x14ac:dyDescent="0.3">
      <c r="A227" s="23" t="s">
        <v>45</v>
      </c>
      <c r="B227" s="12" cm="1">
        <f t="array" ref="B227">_xlfn.XLOOKUP(1,('Cleaned Data 2020 - 2024'!$B:$B=Calculations!A227)*('Cleaned Data 2020 - 2024'!$K:$K=$B$173),'Cleaned Data 2020 - 2024'!$D:$D)</f>
        <v>597470</v>
      </c>
      <c r="C227" s="12" cm="1">
        <f t="array" ref="C227">_xlfn.XLOOKUP(1,('Cleaned Data 2020 - 2024'!B:B=A227)*('Cleaned Data 2020 - 2024'!K:K=$C$173),'Cleaned Data 2020 - 2024'!D:D)</f>
        <v>592930</v>
      </c>
      <c r="D227" s="12" cm="1">
        <f t="array" ref="D227">_xlfn.XLOOKUP(1,('Cleaned Data 2020 - 2024'!$B:$B=$A227)*('Cleaned Data 2020 - 2024'!$K:$K=$D$173),'Cleaned Data 2020 - 2024'!$D:$D)</f>
        <v>596700</v>
      </c>
      <c r="E227" s="12" cm="1">
        <f t="array" ref="E227">_xlfn.XLOOKUP(1,('Cleaned Data 2020 - 2024'!$B:$B=A227)*('Cleaned Data 2020 - 2024'!$K:$K=$E$173),'Cleaned Data 2020 - 2024'!$D:$D)</f>
        <v>602370</v>
      </c>
      <c r="F227" s="12" cm="1">
        <f t="array" ref="F227">_xlfn.XLOOKUP(1,('Cleaned Data 2020 - 2024'!$B:$B=A227)*('Cleaned Data 2020 - 2024'!$K:$K=$F$173),'Cleaned Data 2020 - 2024'!$D:$D)</f>
        <v>618810</v>
      </c>
      <c r="G227" s="27">
        <f t="shared" si="8"/>
        <v>21340</v>
      </c>
      <c r="H227" s="28">
        <f t="shared" si="9"/>
        <v>36</v>
      </c>
    </row>
    <row r="228" spans="1:8" hidden="1" x14ac:dyDescent="0.3">
      <c r="A228" s="23" t="s">
        <v>125</v>
      </c>
      <c r="B228" s="12" cm="1">
        <f t="array" ref="B228">_xlfn.XLOOKUP(1,('Cleaned Data 2020 - 2024'!$B:$B=Calculations!A228)*('Cleaned Data 2020 - 2024'!$K:$K=$B$173),'Cleaned Data 2020 - 2024'!$D:$D)</f>
        <v>595320</v>
      </c>
      <c r="C228" s="12" cm="1">
        <f t="array" ref="C228">_xlfn.XLOOKUP(1,('Cleaned Data 2020 - 2024'!B:B=A228)*('Cleaned Data 2020 - 2024'!K:K=$C$173),'Cleaned Data 2020 - 2024'!D:D)</f>
        <v>591920</v>
      </c>
      <c r="D228" s="12" cm="1">
        <f t="array" ref="D228">_xlfn.XLOOKUP(1,('Cleaned Data 2020 - 2024'!$B:$B=$A228)*('Cleaned Data 2020 - 2024'!$K:$K=$D$173),'Cleaned Data 2020 - 2024'!$D:$D)</f>
        <v>602210</v>
      </c>
      <c r="E228" s="12" cm="1">
        <f t="array" ref="E228">_xlfn.XLOOKUP(1,('Cleaned Data 2020 - 2024'!$B:$B=A228)*('Cleaned Data 2020 - 2024'!$K:$K=$E$173),'Cleaned Data 2020 - 2024'!$D:$D)</f>
        <v>602250</v>
      </c>
      <c r="F228" s="12" cm="1">
        <f t="array" ref="F228">_xlfn.XLOOKUP(1,('Cleaned Data 2020 - 2024'!$B:$B=A228)*('Cleaned Data 2020 - 2024'!$K:$K=$F$173),'Cleaned Data 2020 - 2024'!$D:$D)</f>
        <v>596840</v>
      </c>
      <c r="G228" s="27">
        <f t="shared" si="8"/>
        <v>1520</v>
      </c>
      <c r="H228" s="28">
        <f t="shared" si="9"/>
        <v>81</v>
      </c>
    </row>
    <row r="229" spans="1:8" hidden="1" x14ac:dyDescent="0.3">
      <c r="A229" s="23" t="s">
        <v>109</v>
      </c>
      <c r="B229" s="12" cm="1">
        <f t="array" ref="B229">_xlfn.XLOOKUP(1,('Cleaned Data 2020 - 2024'!$B:$B=Calculations!A229)*('Cleaned Data 2020 - 2024'!$K:$K=$B$173),'Cleaned Data 2020 - 2024'!$D:$D)</f>
        <v>595000</v>
      </c>
      <c r="C229" s="12" cm="1">
        <f t="array" ref="C229">_xlfn.XLOOKUP(1,('Cleaned Data 2020 - 2024'!B:B=A229)*('Cleaned Data 2020 - 2024'!K:K=$C$173),'Cleaned Data 2020 - 2024'!D:D)</f>
        <v>603200</v>
      </c>
      <c r="D229" s="12" cm="1">
        <f t="array" ref="D229">_xlfn.XLOOKUP(1,('Cleaned Data 2020 - 2024'!$B:$B=$A229)*('Cleaned Data 2020 - 2024'!$K:$K=$D$173),'Cleaned Data 2020 - 2024'!$D:$D)</f>
        <v>618040</v>
      </c>
      <c r="E229" s="12" cm="1">
        <f t="array" ref="E229">_xlfn.XLOOKUP(1,('Cleaned Data 2020 - 2024'!$B:$B=A229)*('Cleaned Data 2020 - 2024'!$K:$K=$E$173),'Cleaned Data 2020 - 2024'!$D:$D)</f>
        <v>621270</v>
      </c>
      <c r="F229" s="12" cm="1">
        <f t="array" ref="F229">_xlfn.XLOOKUP(1,('Cleaned Data 2020 - 2024'!$B:$B=A229)*('Cleaned Data 2020 - 2024'!$K:$K=$F$173),'Cleaned Data 2020 - 2024'!$D:$D)</f>
        <v>623450</v>
      </c>
      <c r="G229" s="27">
        <f t="shared" si="8"/>
        <v>28450</v>
      </c>
      <c r="H229" s="28">
        <f t="shared" si="9"/>
        <v>25</v>
      </c>
    </row>
    <row r="230" spans="1:8" hidden="1" x14ac:dyDescent="0.3">
      <c r="A230" s="23" t="s">
        <v>66</v>
      </c>
      <c r="B230" s="12" cm="1">
        <f t="array" ref="B230">_xlfn.XLOOKUP(1,('Cleaned Data 2020 - 2024'!$B:$B=Calculations!A230)*('Cleaned Data 2020 - 2024'!$K:$K=$B$173),'Cleaned Data 2020 - 2024'!$D:$D)</f>
        <v>592520</v>
      </c>
      <c r="C230" s="12" cm="1">
        <f t="array" ref="C230">_xlfn.XLOOKUP(1,('Cleaned Data 2020 - 2024'!B:B=A230)*('Cleaned Data 2020 - 2024'!K:K=$C$173),'Cleaned Data 2020 - 2024'!D:D)</f>
        <v>576400</v>
      </c>
      <c r="D230" s="12" cm="1">
        <f t="array" ref="D230">_xlfn.XLOOKUP(1,('Cleaned Data 2020 - 2024'!$B:$B=$A230)*('Cleaned Data 2020 - 2024'!$K:$K=$D$173),'Cleaned Data 2020 - 2024'!$D:$D)</f>
        <v>553330</v>
      </c>
      <c r="E230" s="12" cm="1">
        <f t="array" ref="E230">_xlfn.XLOOKUP(1,('Cleaned Data 2020 - 2024'!$B:$B=A230)*('Cleaned Data 2020 - 2024'!$K:$K=$E$173),'Cleaned Data 2020 - 2024'!$D:$D)</f>
        <v>555890</v>
      </c>
      <c r="F230" s="12" cm="1">
        <f t="array" ref="F230">_xlfn.XLOOKUP(1,('Cleaned Data 2020 - 2024'!$B:$B=A230)*('Cleaned Data 2020 - 2024'!$K:$K=$F$173),'Cleaned Data 2020 - 2024'!$D:$D)</f>
        <v>572450</v>
      </c>
      <c r="G230" s="27">
        <f t="shared" si="8"/>
        <v>-20070</v>
      </c>
      <c r="H230" s="28">
        <f t="shared" si="9"/>
        <v>121</v>
      </c>
    </row>
    <row r="231" spans="1:8" hidden="1" x14ac:dyDescent="0.3">
      <c r="A231" s="23" t="s">
        <v>108</v>
      </c>
      <c r="B231" s="12" cm="1">
        <f t="array" ref="B231">_xlfn.XLOOKUP(1,('Cleaned Data 2020 - 2024'!$B:$B=Calculations!A231)*('Cleaned Data 2020 - 2024'!$K:$K=$B$173),'Cleaned Data 2020 - 2024'!$D:$D)</f>
        <v>591090</v>
      </c>
      <c r="C231" s="12" cm="1">
        <f t="array" ref="C231">_xlfn.XLOOKUP(1,('Cleaned Data 2020 - 2024'!B:B=A231)*('Cleaned Data 2020 - 2024'!K:K=$C$173),'Cleaned Data 2020 - 2024'!D:D)</f>
        <v>592900</v>
      </c>
      <c r="D231" s="12" cm="1">
        <f t="array" ref="D231">_xlfn.XLOOKUP(1,('Cleaned Data 2020 - 2024'!$B:$B=$A231)*('Cleaned Data 2020 - 2024'!$K:$K=$D$173),'Cleaned Data 2020 - 2024'!$D:$D)</f>
        <v>601630</v>
      </c>
      <c r="E231" s="12" cm="1">
        <f t="array" ref="E231">_xlfn.XLOOKUP(1,('Cleaned Data 2020 - 2024'!$B:$B=A231)*('Cleaned Data 2020 - 2024'!$K:$K=$E$173),'Cleaned Data 2020 - 2024'!$D:$D)</f>
        <v>596800</v>
      </c>
      <c r="F231" s="12" cm="1">
        <f t="array" ref="F231">_xlfn.XLOOKUP(1,('Cleaned Data 2020 - 2024'!$B:$B=A231)*('Cleaned Data 2020 - 2024'!$K:$K=$F$173),'Cleaned Data 2020 - 2024'!$D:$D)</f>
        <v>602960</v>
      </c>
      <c r="G231" s="27">
        <f t="shared" si="8"/>
        <v>11870</v>
      </c>
      <c r="H231" s="28">
        <f t="shared" si="9"/>
        <v>59</v>
      </c>
    </row>
    <row r="232" spans="1:8" hidden="1" x14ac:dyDescent="0.3">
      <c r="A232" s="23" t="s">
        <v>83</v>
      </c>
      <c r="B232" s="12" cm="1">
        <f t="array" ref="B232">_xlfn.XLOOKUP(1,('Cleaned Data 2020 - 2024'!$B:$B=Calculations!A232)*('Cleaned Data 2020 - 2024'!$K:$K=$B$173),'Cleaned Data 2020 - 2024'!$D:$D)</f>
        <v>588980</v>
      </c>
      <c r="C232" s="12" cm="1">
        <f t="array" ref="C232">_xlfn.XLOOKUP(1,('Cleaned Data 2020 - 2024'!B:B=A232)*('Cleaned Data 2020 - 2024'!K:K=$C$173),'Cleaned Data 2020 - 2024'!D:D)</f>
        <v>630920</v>
      </c>
      <c r="D232" s="12" cm="1">
        <f t="array" ref="D232">_xlfn.XLOOKUP(1,('Cleaned Data 2020 - 2024'!$B:$B=$A232)*('Cleaned Data 2020 - 2024'!$K:$K=$D$173),'Cleaned Data 2020 - 2024'!$D:$D)</f>
        <v>584960</v>
      </c>
      <c r="E232" s="12" cm="1">
        <f t="array" ref="E232">_xlfn.XLOOKUP(1,('Cleaned Data 2020 - 2024'!$B:$B=A232)*('Cleaned Data 2020 - 2024'!$K:$K=$E$173),'Cleaned Data 2020 - 2024'!$D:$D)</f>
        <v>570270</v>
      </c>
      <c r="F232" s="12" cm="1">
        <f t="array" ref="F232">_xlfn.XLOOKUP(1,('Cleaned Data 2020 - 2024'!$B:$B=A232)*('Cleaned Data 2020 - 2024'!$K:$K=$F$173),'Cleaned Data 2020 - 2024'!$D:$D)</f>
        <v>584170</v>
      </c>
      <c r="G232" s="27">
        <f t="shared" si="8"/>
        <v>-4810</v>
      </c>
      <c r="H232" s="28">
        <f t="shared" si="9"/>
        <v>95</v>
      </c>
    </row>
    <row r="233" spans="1:8" hidden="1" x14ac:dyDescent="0.3">
      <c r="A233" s="23" t="s">
        <v>65</v>
      </c>
      <c r="B233" s="12" cm="1">
        <f t="array" ref="B233">_xlfn.XLOOKUP(1,('Cleaned Data 2020 - 2024'!$B:$B=Calculations!A233)*('Cleaned Data 2020 - 2024'!$K:$K=$B$173),'Cleaned Data 2020 - 2024'!$D:$D)</f>
        <v>587240</v>
      </c>
      <c r="C233" s="12" cm="1">
        <f t="array" ref="C233">_xlfn.XLOOKUP(1,('Cleaned Data 2020 - 2024'!B:B=A233)*('Cleaned Data 2020 - 2024'!K:K=$C$173),'Cleaned Data 2020 - 2024'!D:D)</f>
        <v>584550</v>
      </c>
      <c r="D233" s="12" cm="1">
        <f t="array" ref="D233">_xlfn.XLOOKUP(1,('Cleaned Data 2020 - 2024'!$B:$B=$A233)*('Cleaned Data 2020 - 2024'!$K:$K=$D$173),'Cleaned Data 2020 - 2024'!$D:$D)</f>
        <v>593510</v>
      </c>
      <c r="E233" s="12" cm="1">
        <f t="array" ref="E233">_xlfn.XLOOKUP(1,('Cleaned Data 2020 - 2024'!$B:$B=A233)*('Cleaned Data 2020 - 2024'!$K:$K=$E$173),'Cleaned Data 2020 - 2024'!$D:$D)</f>
        <v>595110</v>
      </c>
      <c r="F233" s="12" cm="1">
        <f t="array" ref="F233">_xlfn.XLOOKUP(1,('Cleaned Data 2020 - 2024'!$B:$B=A233)*('Cleaned Data 2020 - 2024'!$K:$K=$F$173),'Cleaned Data 2020 - 2024'!$D:$D)</f>
        <v>605790</v>
      </c>
      <c r="G233" s="27">
        <f t="shared" si="8"/>
        <v>18550</v>
      </c>
      <c r="H233" s="28">
        <f t="shared" si="9"/>
        <v>44</v>
      </c>
    </row>
    <row r="234" spans="1:8" hidden="1" x14ac:dyDescent="0.3">
      <c r="A234" s="23" t="s">
        <v>64</v>
      </c>
      <c r="B234" s="12" cm="1">
        <f t="array" ref="B234">_xlfn.XLOOKUP(1,('Cleaned Data 2020 - 2024'!$B:$B=Calculations!A234)*('Cleaned Data 2020 - 2024'!$K:$K=$B$173),'Cleaned Data 2020 - 2024'!$D:$D)</f>
        <v>587080</v>
      </c>
      <c r="C234" s="12" cm="1">
        <f t="array" ref="C234">_xlfn.XLOOKUP(1,('Cleaned Data 2020 - 2024'!B:B=A234)*('Cleaned Data 2020 - 2024'!K:K=$C$173),'Cleaned Data 2020 - 2024'!D:D)</f>
        <v>594050</v>
      </c>
      <c r="D234" s="12" cm="1">
        <f t="array" ref="D234">_xlfn.XLOOKUP(1,('Cleaned Data 2020 - 2024'!$B:$B=$A234)*('Cleaned Data 2020 - 2024'!$K:$K=$D$173),'Cleaned Data 2020 - 2024'!$D:$D)</f>
        <v>603890</v>
      </c>
      <c r="E234" s="12" cm="1">
        <f t="array" ref="E234">_xlfn.XLOOKUP(1,('Cleaned Data 2020 - 2024'!$B:$B=A234)*('Cleaned Data 2020 - 2024'!$K:$K=$E$173),'Cleaned Data 2020 - 2024'!$D:$D)</f>
        <v>612900</v>
      </c>
      <c r="F234" s="12" cm="1">
        <f t="array" ref="F234">_xlfn.XLOOKUP(1,('Cleaned Data 2020 - 2024'!$B:$B=A234)*('Cleaned Data 2020 - 2024'!$K:$K=$F$173),'Cleaned Data 2020 - 2024'!$D:$D)</f>
        <v>605980</v>
      </c>
      <c r="G234" s="27">
        <f t="shared" si="8"/>
        <v>18900</v>
      </c>
      <c r="H234" s="28">
        <f t="shared" si="9"/>
        <v>42</v>
      </c>
    </row>
    <row r="235" spans="1:8" hidden="1" x14ac:dyDescent="0.3">
      <c r="A235" s="23" t="s">
        <v>76</v>
      </c>
      <c r="B235" s="12" cm="1">
        <f t="array" ref="B235">_xlfn.XLOOKUP(1,('Cleaned Data 2020 - 2024'!$B:$B=Calculations!A235)*('Cleaned Data 2020 - 2024'!$K:$K=$B$173),'Cleaned Data 2020 - 2024'!$D:$D)</f>
        <v>579680</v>
      </c>
      <c r="C235" s="12" cm="1">
        <f t="array" ref="C235">_xlfn.XLOOKUP(1,('Cleaned Data 2020 - 2024'!B:B=A235)*('Cleaned Data 2020 - 2024'!K:K=$C$173),'Cleaned Data 2020 - 2024'!D:D)</f>
        <v>583960</v>
      </c>
      <c r="D235" s="12" cm="1">
        <f t="array" ref="D235">_xlfn.XLOOKUP(1,('Cleaned Data 2020 - 2024'!$B:$B=$A235)*('Cleaned Data 2020 - 2024'!$K:$K=$D$173),'Cleaned Data 2020 - 2024'!$D:$D)</f>
        <v>555910</v>
      </c>
      <c r="E235" s="12" cm="1">
        <f t="array" ref="E235">_xlfn.XLOOKUP(1,('Cleaned Data 2020 - 2024'!$B:$B=A235)*('Cleaned Data 2020 - 2024'!$K:$K=$E$173),'Cleaned Data 2020 - 2024'!$D:$D)</f>
        <v>552590</v>
      </c>
      <c r="F235" s="12" cm="1">
        <f t="array" ref="F235">_xlfn.XLOOKUP(1,('Cleaned Data 2020 - 2024'!$B:$B=A235)*('Cleaned Data 2020 - 2024'!$K:$K=$F$173),'Cleaned Data 2020 - 2024'!$D:$D)</f>
        <v>584090</v>
      </c>
      <c r="G235" s="27">
        <f t="shared" si="8"/>
        <v>4410</v>
      </c>
      <c r="H235" s="28">
        <f t="shared" si="9"/>
        <v>67</v>
      </c>
    </row>
    <row r="236" spans="1:8" x14ac:dyDescent="0.3">
      <c r="A236" s="23" t="s">
        <v>107</v>
      </c>
      <c r="B236" s="12" cm="1">
        <f t="array" ref="B236">_xlfn.XLOOKUP(1,('Cleaned Data 2020 - 2024'!$B:$B=Calculations!A236)*('Cleaned Data 2020 - 2024'!$K:$K=$B$173),'Cleaned Data 2020 - 2024'!$D:$D)</f>
        <v>577820</v>
      </c>
      <c r="C236" s="12" cm="1">
        <f t="array" ref="C236">_xlfn.XLOOKUP(1,('Cleaned Data 2020 - 2024'!B:B=A236)*('Cleaned Data 2020 - 2024'!K:K=$C$173),'Cleaned Data 2020 - 2024'!D:D)</f>
        <v>607790</v>
      </c>
      <c r="D236" s="12" cm="1">
        <f t="array" ref="D236">_xlfn.XLOOKUP(1,('Cleaned Data 2020 - 2024'!$B:$B=$A236)*('Cleaned Data 2020 - 2024'!$K:$K=$D$173),'Cleaned Data 2020 - 2024'!$D:$D)</f>
        <v>617800</v>
      </c>
      <c r="E236" s="12" cm="1">
        <f t="array" ref="E236">_xlfn.XLOOKUP(1,('Cleaned Data 2020 - 2024'!$B:$B=A236)*('Cleaned Data 2020 - 2024'!$K:$K=$E$173),'Cleaned Data 2020 - 2024'!$D:$D)</f>
        <v>614360</v>
      </c>
      <c r="F236" s="12" cm="1">
        <f t="array" ref="F236">_xlfn.XLOOKUP(1,('Cleaned Data 2020 - 2024'!$B:$B=A236)*('Cleaned Data 2020 - 2024'!$K:$K=$F$173),'Cleaned Data 2020 - 2024'!$D:$D)</f>
        <v>641080</v>
      </c>
      <c r="G236" s="27">
        <f t="shared" si="8"/>
        <v>63260</v>
      </c>
      <c r="H236" s="28">
        <f t="shared" si="9"/>
        <v>5</v>
      </c>
    </row>
    <row r="237" spans="1:8" hidden="1" x14ac:dyDescent="0.3">
      <c r="A237" s="23" t="s">
        <v>69</v>
      </c>
      <c r="B237" s="12" cm="1">
        <f t="array" ref="B237">_xlfn.XLOOKUP(1,('Cleaned Data 2020 - 2024'!$B:$B=Calculations!A237)*('Cleaned Data 2020 - 2024'!$K:$K=$B$173),'Cleaned Data 2020 - 2024'!$D:$D)</f>
        <v>574750</v>
      </c>
      <c r="C237" s="12" cm="1">
        <f t="array" ref="C237">_xlfn.XLOOKUP(1,('Cleaned Data 2020 - 2024'!B:B=A237)*('Cleaned Data 2020 - 2024'!K:K=$C$173),'Cleaned Data 2020 - 2024'!D:D)</f>
        <v>571590</v>
      </c>
      <c r="D237" s="12" cm="1">
        <f t="array" ref="D237">_xlfn.XLOOKUP(1,('Cleaned Data 2020 - 2024'!$B:$B=$A237)*('Cleaned Data 2020 - 2024'!$K:$K=$D$173),'Cleaned Data 2020 - 2024'!$D:$D)</f>
        <v>560030</v>
      </c>
      <c r="E237" s="12" cm="1">
        <f t="array" ref="E237">_xlfn.XLOOKUP(1,('Cleaned Data 2020 - 2024'!$B:$B=A237)*('Cleaned Data 2020 - 2024'!$K:$K=$E$173),'Cleaned Data 2020 - 2024'!$D:$D)</f>
        <v>568430</v>
      </c>
      <c r="F237" s="12" cm="1">
        <f t="array" ref="F237">_xlfn.XLOOKUP(1,('Cleaned Data 2020 - 2024'!$B:$B=A237)*('Cleaned Data 2020 - 2024'!$K:$K=$F$173),'Cleaned Data 2020 - 2024'!$D:$D)</f>
        <v>578430</v>
      </c>
      <c r="G237" s="27">
        <f t="shared" si="8"/>
        <v>3680</v>
      </c>
      <c r="H237" s="28">
        <f t="shared" si="9"/>
        <v>70</v>
      </c>
    </row>
    <row r="238" spans="1:8" hidden="1" x14ac:dyDescent="0.3">
      <c r="A238" s="23" t="s">
        <v>101</v>
      </c>
      <c r="B238" s="12" cm="1">
        <f t="array" ref="B238">_xlfn.XLOOKUP(1,('Cleaned Data 2020 - 2024'!$B:$B=Calculations!A238)*('Cleaned Data 2020 - 2024'!$K:$K=$B$173),'Cleaned Data 2020 - 2024'!$D:$D)</f>
        <v>569330</v>
      </c>
      <c r="C238" s="12" cm="1">
        <f t="array" ref="C238">_xlfn.XLOOKUP(1,('Cleaned Data 2020 - 2024'!B:B=A238)*('Cleaned Data 2020 - 2024'!K:K=$C$173),'Cleaned Data 2020 - 2024'!D:D)</f>
        <v>493400</v>
      </c>
      <c r="D238" s="12" cm="1">
        <f t="array" ref="D238">_xlfn.XLOOKUP(1,('Cleaned Data 2020 - 2024'!$B:$B=$A238)*('Cleaned Data 2020 - 2024'!$K:$K=$D$173),'Cleaned Data 2020 - 2024'!$D:$D)</f>
        <v>451580</v>
      </c>
      <c r="E238" s="12" cm="1">
        <f t="array" ref="E238">_xlfn.XLOOKUP(1,('Cleaned Data 2020 - 2024'!$B:$B=A238)*('Cleaned Data 2020 - 2024'!$K:$K=$E$173),'Cleaned Data 2020 - 2024'!$D:$D)</f>
        <v>455540</v>
      </c>
      <c r="F238" s="12" cm="1">
        <f t="array" ref="F238">_xlfn.XLOOKUP(1,('Cleaned Data 2020 - 2024'!$B:$B=A238)*('Cleaned Data 2020 - 2024'!$K:$K=$F$173),'Cleaned Data 2020 - 2024'!$D:$D)</f>
        <v>465670</v>
      </c>
      <c r="G238" s="27">
        <f t="shared" ref="G238:G269" si="10">F238-B238</f>
        <v>-103660</v>
      </c>
      <c r="H238" s="28">
        <f t="shared" ref="H238:H269" si="11">_xlfn.RANK.EQ(G238,$G$174:$G$329,0)</f>
        <v>155</v>
      </c>
    </row>
    <row r="239" spans="1:8" hidden="1" x14ac:dyDescent="0.3">
      <c r="A239" s="23" t="s">
        <v>71</v>
      </c>
      <c r="B239" s="12" cm="1">
        <f t="array" ref="B239">_xlfn.XLOOKUP(1,('Cleaned Data 2020 - 2024'!$B:$B=Calculations!A239)*('Cleaned Data 2020 - 2024'!$K:$K=$B$173),'Cleaned Data 2020 - 2024'!$D:$D)</f>
        <v>569210</v>
      </c>
      <c r="C239" s="12" cm="1">
        <f t="array" ref="C239">_xlfn.XLOOKUP(1,('Cleaned Data 2020 - 2024'!B:B=A239)*('Cleaned Data 2020 - 2024'!K:K=$C$173),'Cleaned Data 2020 - 2024'!D:D)</f>
        <v>565260</v>
      </c>
      <c r="D239" s="12" cm="1">
        <f t="array" ref="D239">_xlfn.XLOOKUP(1,('Cleaned Data 2020 - 2024'!$B:$B=$A239)*('Cleaned Data 2020 - 2024'!$K:$K=$D$173),'Cleaned Data 2020 - 2024'!$D:$D)</f>
        <v>557830</v>
      </c>
      <c r="E239" s="12" cm="1">
        <f t="array" ref="E239">_xlfn.XLOOKUP(1,('Cleaned Data 2020 - 2024'!$B:$B=A239)*('Cleaned Data 2020 - 2024'!$K:$K=$E$173),'Cleaned Data 2020 - 2024'!$D:$D)</f>
        <v>573780</v>
      </c>
      <c r="F239" s="12" cm="1">
        <f t="array" ref="F239">_xlfn.XLOOKUP(1,('Cleaned Data 2020 - 2024'!$B:$B=A239)*('Cleaned Data 2020 - 2024'!$K:$K=$F$173),'Cleaned Data 2020 - 2024'!$D:$D)</f>
        <v>597650</v>
      </c>
      <c r="G239" s="27">
        <f t="shared" si="10"/>
        <v>28440</v>
      </c>
      <c r="H239" s="28">
        <f t="shared" si="11"/>
        <v>26</v>
      </c>
    </row>
    <row r="240" spans="1:8" hidden="1" x14ac:dyDescent="0.3">
      <c r="A240" s="23" t="s">
        <v>118</v>
      </c>
      <c r="B240" s="12" cm="1">
        <f t="array" ref="B240">_xlfn.XLOOKUP(1,('Cleaned Data 2020 - 2024'!$B:$B=Calculations!A240)*('Cleaned Data 2020 - 2024'!$K:$K=$B$173),'Cleaned Data 2020 - 2024'!$D:$D)</f>
        <v>568920</v>
      </c>
      <c r="C240" s="12" cm="1">
        <f t="array" ref="C240">_xlfn.XLOOKUP(1,('Cleaned Data 2020 - 2024'!B:B=A240)*('Cleaned Data 2020 - 2024'!K:K=$C$173),'Cleaned Data 2020 - 2024'!D:D)</f>
        <v>554510</v>
      </c>
      <c r="D240" s="12" cm="1">
        <f t="array" ref="D240">_xlfn.XLOOKUP(1,('Cleaned Data 2020 - 2024'!$B:$B=$A240)*('Cleaned Data 2020 - 2024'!$K:$K=$D$173),'Cleaned Data 2020 - 2024'!$D:$D)</f>
        <v>573720</v>
      </c>
      <c r="E240" s="12" cm="1">
        <f t="array" ref="E240">_xlfn.XLOOKUP(1,('Cleaned Data 2020 - 2024'!$B:$B=A240)*('Cleaned Data 2020 - 2024'!$K:$K=$E$173),'Cleaned Data 2020 - 2024'!$D:$D)</f>
        <v>556890</v>
      </c>
      <c r="F240" s="12" cm="1">
        <f t="array" ref="F240">_xlfn.XLOOKUP(1,('Cleaned Data 2020 - 2024'!$B:$B=A240)*('Cleaned Data 2020 - 2024'!$K:$K=$F$173),'Cleaned Data 2020 - 2024'!$D:$D)</f>
        <v>582280</v>
      </c>
      <c r="G240" s="27">
        <f t="shared" si="10"/>
        <v>13360</v>
      </c>
      <c r="H240" s="28">
        <f t="shared" si="11"/>
        <v>53</v>
      </c>
    </row>
    <row r="241" spans="1:8" hidden="1" x14ac:dyDescent="0.3">
      <c r="A241" s="23" t="s">
        <v>116</v>
      </c>
      <c r="B241" s="12" cm="1">
        <f t="array" ref="B241">_xlfn.XLOOKUP(1,('Cleaned Data 2020 - 2024'!$B:$B=Calculations!A241)*('Cleaned Data 2020 - 2024'!$K:$K=$B$173),'Cleaned Data 2020 - 2024'!$D:$D)</f>
        <v>567410</v>
      </c>
      <c r="C241" s="12" cm="1">
        <f t="array" ref="C241">_xlfn.XLOOKUP(1,('Cleaned Data 2020 - 2024'!B:B=A241)*('Cleaned Data 2020 - 2024'!K:K=$C$173),'Cleaned Data 2020 - 2024'!D:D)</f>
        <v>581310</v>
      </c>
      <c r="D241" s="12" cm="1">
        <f t="array" ref="D241">_xlfn.XLOOKUP(1,('Cleaned Data 2020 - 2024'!$B:$B=$A241)*('Cleaned Data 2020 - 2024'!$K:$K=$D$173),'Cleaned Data 2020 - 2024'!$D:$D)</f>
        <v>576800</v>
      </c>
      <c r="E241" s="12" cm="1">
        <f t="array" ref="E241">_xlfn.XLOOKUP(1,('Cleaned Data 2020 - 2024'!$B:$B=A241)*('Cleaned Data 2020 - 2024'!$K:$K=$E$173),'Cleaned Data 2020 - 2024'!$D:$D)</f>
        <v>563250</v>
      </c>
      <c r="F241" s="12" cm="1">
        <f t="array" ref="F241">_xlfn.XLOOKUP(1,('Cleaned Data 2020 - 2024'!$B:$B=A241)*('Cleaned Data 2020 - 2024'!$K:$K=$F$173),'Cleaned Data 2020 - 2024'!$D:$D)</f>
        <v>587700</v>
      </c>
      <c r="G241" s="27">
        <f t="shared" si="10"/>
        <v>20290</v>
      </c>
      <c r="H241" s="28">
        <f t="shared" si="11"/>
        <v>40</v>
      </c>
    </row>
    <row r="242" spans="1:8" hidden="1" x14ac:dyDescent="0.3">
      <c r="A242" s="23" t="s">
        <v>70</v>
      </c>
      <c r="B242" s="12" cm="1">
        <f t="array" ref="B242">_xlfn.XLOOKUP(1,('Cleaned Data 2020 - 2024'!$B:$B=Calculations!A242)*('Cleaned Data 2020 - 2024'!$K:$K=$B$173),'Cleaned Data 2020 - 2024'!$D:$D)</f>
        <v>560750</v>
      </c>
      <c r="C242" s="12" cm="1">
        <f t="array" ref="C242">_xlfn.XLOOKUP(1,('Cleaned Data 2020 - 2024'!B:B=A242)*('Cleaned Data 2020 - 2024'!K:K=$C$173),'Cleaned Data 2020 - 2024'!D:D)</f>
        <v>576640</v>
      </c>
      <c r="D242" s="12" cm="1">
        <f t="array" ref="D242">_xlfn.XLOOKUP(1,('Cleaned Data 2020 - 2024'!$B:$B=$A242)*('Cleaned Data 2020 - 2024'!$K:$K=$D$173),'Cleaned Data 2020 - 2024'!$D:$D)</f>
        <v>585680</v>
      </c>
      <c r="E242" s="12" cm="1">
        <f t="array" ref="E242">_xlfn.XLOOKUP(1,('Cleaned Data 2020 - 2024'!$B:$B=A242)*('Cleaned Data 2020 - 2024'!$K:$K=$E$173),'Cleaned Data 2020 - 2024'!$D:$D)</f>
        <v>581920</v>
      </c>
      <c r="F242" s="12" cm="1">
        <f t="array" ref="F242">_xlfn.XLOOKUP(1,('Cleaned Data 2020 - 2024'!$B:$B=A242)*('Cleaned Data 2020 - 2024'!$K:$K=$F$173),'Cleaned Data 2020 - 2024'!$D:$D)</f>
        <v>581590</v>
      </c>
      <c r="G242" s="27">
        <f t="shared" si="10"/>
        <v>20840</v>
      </c>
      <c r="H242" s="28">
        <f t="shared" si="11"/>
        <v>39</v>
      </c>
    </row>
    <row r="243" spans="1:8" hidden="1" x14ac:dyDescent="0.3">
      <c r="A243" s="23" t="s">
        <v>126</v>
      </c>
      <c r="B243" s="12" cm="1">
        <f t="array" ref="B243">_xlfn.XLOOKUP(1,('Cleaned Data 2020 - 2024'!$B:$B=Calculations!A243)*('Cleaned Data 2020 - 2024'!$K:$K=$B$173),'Cleaned Data 2020 - 2024'!$D:$D)</f>
        <v>555570</v>
      </c>
      <c r="C243" s="12" cm="1">
        <f t="array" ref="C243">_xlfn.XLOOKUP(1,('Cleaned Data 2020 - 2024'!B:B=A243)*('Cleaned Data 2020 - 2024'!K:K=$C$173),'Cleaned Data 2020 - 2024'!D:D)</f>
        <v>546620</v>
      </c>
      <c r="D243" s="12" cm="1">
        <f t="array" ref="D243">_xlfn.XLOOKUP(1,('Cleaned Data 2020 - 2024'!$B:$B=$A243)*('Cleaned Data 2020 - 2024'!$K:$K=$D$173),'Cleaned Data 2020 - 2024'!$D:$D)</f>
        <v>537710</v>
      </c>
      <c r="E243" s="12" cm="1">
        <f t="array" ref="E243">_xlfn.XLOOKUP(1,('Cleaned Data 2020 - 2024'!$B:$B=A243)*('Cleaned Data 2020 - 2024'!$K:$K=$E$173),'Cleaned Data 2020 - 2024'!$D:$D)</f>
        <v>532980</v>
      </c>
      <c r="F243" s="12">
        <f>AVERAGE(B243:E243)</f>
        <v>543220</v>
      </c>
      <c r="G243" s="27">
        <f t="shared" si="10"/>
        <v>-12350</v>
      </c>
      <c r="H243" s="28">
        <f t="shared" si="11"/>
        <v>112</v>
      </c>
    </row>
    <row r="244" spans="1:8" hidden="1" x14ac:dyDescent="0.3">
      <c r="A244" s="23" t="s">
        <v>102</v>
      </c>
      <c r="B244" s="12" cm="1">
        <f t="array" ref="B244">_xlfn.XLOOKUP(1,('Cleaned Data 2020 - 2024'!$B:$B=Calculations!A244)*('Cleaned Data 2020 - 2024'!$K:$K=$B$173),'Cleaned Data 2020 - 2024'!$D:$D)</f>
        <v>554610</v>
      </c>
      <c r="C244" s="12" cm="1">
        <f t="array" ref="C244">_xlfn.XLOOKUP(1,('Cleaned Data 2020 - 2024'!B:B=A244)*('Cleaned Data 2020 - 2024'!K:K=$C$173),'Cleaned Data 2020 - 2024'!D:D)</f>
        <v>558050</v>
      </c>
      <c r="D244" s="12" cm="1">
        <f t="array" ref="D244">_xlfn.XLOOKUP(1,('Cleaned Data 2020 - 2024'!$B:$B=$A244)*('Cleaned Data 2020 - 2024'!$K:$K=$D$173),'Cleaned Data 2020 - 2024'!$D:$D)</f>
        <v>554680</v>
      </c>
      <c r="E244" s="12" cm="1">
        <f t="array" ref="E244">_xlfn.XLOOKUP(1,('Cleaned Data 2020 - 2024'!$B:$B=A244)*('Cleaned Data 2020 - 2024'!$K:$K=$E$173),'Cleaned Data 2020 - 2024'!$D:$D)</f>
        <v>572220</v>
      </c>
      <c r="F244" s="12" cm="1">
        <f t="array" ref="F244">_xlfn.XLOOKUP(1,('Cleaned Data 2020 - 2024'!$B:$B=A244)*('Cleaned Data 2020 - 2024'!$K:$K=$F$173),'Cleaned Data 2020 - 2024'!$D:$D)</f>
        <v>570700</v>
      </c>
      <c r="G244" s="27">
        <f t="shared" si="10"/>
        <v>16090</v>
      </c>
      <c r="H244" s="28">
        <f t="shared" si="11"/>
        <v>48</v>
      </c>
    </row>
    <row r="245" spans="1:8" hidden="1" x14ac:dyDescent="0.3">
      <c r="A245" s="23" t="s">
        <v>82</v>
      </c>
      <c r="B245" s="12" cm="1">
        <f t="array" ref="B245">_xlfn.XLOOKUP(1,('Cleaned Data 2020 - 2024'!$B:$B=Calculations!A245)*('Cleaned Data 2020 - 2024'!$K:$K=$B$173),'Cleaned Data 2020 - 2024'!$D:$D)</f>
        <v>554600</v>
      </c>
      <c r="C245" s="12" cm="1">
        <f t="array" ref="C245">_xlfn.XLOOKUP(1,('Cleaned Data 2020 - 2024'!B:B=A245)*('Cleaned Data 2020 - 2024'!K:K=$C$173),'Cleaned Data 2020 - 2024'!D:D)</f>
        <v>547720</v>
      </c>
      <c r="D245" s="12" cm="1">
        <f t="array" ref="D245">_xlfn.XLOOKUP(1,('Cleaned Data 2020 - 2024'!$B:$B=$A245)*('Cleaned Data 2020 - 2024'!$K:$K=$D$173),'Cleaned Data 2020 - 2024'!$D:$D)</f>
        <v>545860</v>
      </c>
      <c r="E245" s="12" cm="1">
        <f t="array" ref="E245">_xlfn.XLOOKUP(1,('Cleaned Data 2020 - 2024'!$B:$B=A245)*('Cleaned Data 2020 - 2024'!$K:$K=$E$173),'Cleaned Data 2020 - 2024'!$D:$D)</f>
        <v>566070</v>
      </c>
      <c r="F245" s="12" cm="1">
        <f t="array" ref="F245">_xlfn.XLOOKUP(1,('Cleaned Data 2020 - 2024'!$B:$B=A245)*('Cleaned Data 2020 - 2024'!$K:$K=$F$173),'Cleaned Data 2020 - 2024'!$D:$D)</f>
        <v>578530</v>
      </c>
      <c r="G245" s="27">
        <f t="shared" si="10"/>
        <v>23930</v>
      </c>
      <c r="H245" s="28">
        <f t="shared" si="11"/>
        <v>34</v>
      </c>
    </row>
    <row r="246" spans="1:8" hidden="1" x14ac:dyDescent="0.3">
      <c r="A246" s="23" t="s">
        <v>96</v>
      </c>
      <c r="B246" s="12" cm="1">
        <f t="array" ref="B246">_xlfn.XLOOKUP(1,('Cleaned Data 2020 - 2024'!$B:$B=Calculations!A246)*('Cleaned Data 2020 - 2024'!$K:$K=$B$173),'Cleaned Data 2020 - 2024'!$D:$D)</f>
        <v>554150</v>
      </c>
      <c r="C246" s="12" cm="1">
        <f t="array" ref="C246">_xlfn.XLOOKUP(1,('Cleaned Data 2020 - 2024'!B:B=A246)*('Cleaned Data 2020 - 2024'!K:K=$C$173),'Cleaned Data 2020 - 2024'!D:D)</f>
        <v>574360</v>
      </c>
      <c r="D246" s="12" cm="1">
        <f t="array" ref="D246">_xlfn.XLOOKUP(1,('Cleaned Data 2020 - 2024'!$B:$B=$A246)*('Cleaned Data 2020 - 2024'!$K:$K=$D$173),'Cleaned Data 2020 - 2024'!$D:$D)</f>
        <v>582850</v>
      </c>
      <c r="E246" s="12" cm="1">
        <f t="array" ref="E246">_xlfn.XLOOKUP(1,('Cleaned Data 2020 - 2024'!$B:$B=A246)*('Cleaned Data 2020 - 2024'!$K:$K=$E$173),'Cleaned Data 2020 - 2024'!$D:$D)</f>
        <v>582530</v>
      </c>
      <c r="F246" s="12" cm="1">
        <f t="array" ref="F246">_xlfn.XLOOKUP(1,('Cleaned Data 2020 - 2024'!$B:$B=A246)*('Cleaned Data 2020 - 2024'!$K:$K=$F$173),'Cleaned Data 2020 - 2024'!$D:$D)</f>
        <v>571350</v>
      </c>
      <c r="G246" s="27">
        <f t="shared" si="10"/>
        <v>17200</v>
      </c>
      <c r="H246" s="28">
        <f t="shared" si="11"/>
        <v>46</v>
      </c>
    </row>
    <row r="247" spans="1:8" hidden="1" x14ac:dyDescent="0.3">
      <c r="A247" s="23" t="s">
        <v>77</v>
      </c>
      <c r="B247" s="12" cm="1">
        <f t="array" ref="B247">_xlfn.XLOOKUP(1,('Cleaned Data 2020 - 2024'!$B:$B=Calculations!A247)*('Cleaned Data 2020 - 2024'!$K:$K=$B$173),'Cleaned Data 2020 - 2024'!$D:$D)</f>
        <v>553990</v>
      </c>
      <c r="C247" s="12" cm="1">
        <f t="array" ref="C247">_xlfn.XLOOKUP(1,('Cleaned Data 2020 - 2024'!B:B=A247)*('Cleaned Data 2020 - 2024'!K:K=$C$173),'Cleaned Data 2020 - 2024'!D:D)</f>
        <v>553350</v>
      </c>
      <c r="D247" s="12" cm="1">
        <f t="array" ref="D247">_xlfn.XLOOKUP(1,('Cleaned Data 2020 - 2024'!$B:$B=$A247)*('Cleaned Data 2020 - 2024'!$K:$K=$D$173),'Cleaned Data 2020 - 2024'!$D:$D)</f>
        <v>582150</v>
      </c>
      <c r="E247" s="12">
        <f>AVERAGE(B247:D247)</f>
        <v>563163.33333333337</v>
      </c>
      <c r="F247" s="12">
        <f>AVERAGE(C247:E247)</f>
        <v>566221.11111111112</v>
      </c>
      <c r="G247" s="27">
        <f t="shared" si="10"/>
        <v>12231.111111111124</v>
      </c>
      <c r="H247" s="28">
        <f t="shared" si="11"/>
        <v>57</v>
      </c>
    </row>
    <row r="248" spans="1:8" hidden="1" x14ac:dyDescent="0.3">
      <c r="A248" s="23" t="s">
        <v>122</v>
      </c>
      <c r="B248" s="12" cm="1">
        <f t="array" ref="B248">_xlfn.XLOOKUP(1,('Cleaned Data 2020 - 2024'!$B:$B=Calculations!A248)*('Cleaned Data 2020 - 2024'!$K:$K=$B$173),'Cleaned Data 2020 - 2024'!$D:$D)</f>
        <v>551500</v>
      </c>
      <c r="C248" s="12" cm="1">
        <f t="array" ref="C248">_xlfn.XLOOKUP(1,('Cleaned Data 2020 - 2024'!B:B=A248)*('Cleaned Data 2020 - 2024'!K:K=$C$173),'Cleaned Data 2020 - 2024'!D:D)</f>
        <v>572260</v>
      </c>
      <c r="D248" s="12" cm="1">
        <f t="array" ref="D248">_xlfn.XLOOKUP(1,('Cleaned Data 2020 - 2024'!$B:$B=$A248)*('Cleaned Data 2020 - 2024'!$K:$K=$D$173),'Cleaned Data 2020 - 2024'!$D:$D)</f>
        <v>594820</v>
      </c>
      <c r="E248" s="12" cm="1">
        <f t="array" ref="E248">_xlfn.XLOOKUP(1,('Cleaned Data 2020 - 2024'!$B:$B=A248)*('Cleaned Data 2020 - 2024'!$K:$K=$E$173),'Cleaned Data 2020 - 2024'!$D:$D)</f>
        <v>593090</v>
      </c>
      <c r="F248" s="12" cm="1">
        <f t="array" ref="F248">_xlfn.XLOOKUP(1,('Cleaned Data 2020 - 2024'!$B:$B=A248)*('Cleaned Data 2020 - 2024'!$K:$K=$F$173),'Cleaned Data 2020 - 2024'!$D:$D)</f>
        <v>593360</v>
      </c>
      <c r="G248" s="27">
        <f t="shared" si="10"/>
        <v>41860</v>
      </c>
      <c r="H248" s="28">
        <f t="shared" si="11"/>
        <v>16</v>
      </c>
    </row>
    <row r="249" spans="1:8" hidden="1" x14ac:dyDescent="0.3">
      <c r="A249" s="23" t="s">
        <v>185</v>
      </c>
      <c r="B249" s="12" cm="1">
        <f t="array" ref="B249">_xlfn.XLOOKUP(1,('Cleaned Data 2020 - 2024'!$B:$B=Calculations!A249)*('Cleaned Data 2020 - 2024'!$K:$K=$B$173),'Cleaned Data 2020 - 2024'!$D:$D)</f>
        <v>551040</v>
      </c>
      <c r="C249" s="12" cm="1">
        <f t="array" ref="C249">_xlfn.XLOOKUP(1,('Cleaned Data 2020 - 2024'!B:B=A249)*('Cleaned Data 2020 - 2024'!K:K=$C$173),'Cleaned Data 2020 - 2024'!D:D)</f>
        <v>547670</v>
      </c>
      <c r="D249" s="12" cm="1">
        <f t="array" ref="D249">_xlfn.XLOOKUP(1,('Cleaned Data 2020 - 2024'!$B:$B=$A249)*('Cleaned Data 2020 - 2024'!$K:$K=$D$173),'Cleaned Data 2020 - 2024'!$D:$D)</f>
        <v>542480</v>
      </c>
      <c r="E249" s="12" cm="1">
        <f t="array" ref="E249">_xlfn.XLOOKUP(1,('Cleaned Data 2020 - 2024'!$B:$B=A249)*('Cleaned Data 2020 - 2024'!$K:$K=$E$173),'Cleaned Data 2020 - 2024'!$D:$D)</f>
        <v>530850</v>
      </c>
      <c r="F249" s="12" cm="1">
        <f t="array" ref="F249">_xlfn.XLOOKUP(1,('Cleaned Data 2020 - 2024'!$B:$B=A249)*('Cleaned Data 2020 - 2024'!$K:$K=$F$173),'Cleaned Data 2020 - 2024'!$D:$D)</f>
        <v>531640</v>
      </c>
      <c r="G249" s="27">
        <f t="shared" si="10"/>
        <v>-19400</v>
      </c>
      <c r="H249" s="28">
        <f t="shared" si="11"/>
        <v>120</v>
      </c>
    </row>
    <row r="250" spans="1:8" hidden="1" x14ac:dyDescent="0.3">
      <c r="A250" s="23" t="s">
        <v>80</v>
      </c>
      <c r="B250" s="12" cm="1">
        <f t="array" ref="B250">_xlfn.XLOOKUP(1,('Cleaned Data 2020 - 2024'!$B:$B=Calculations!A250)*('Cleaned Data 2020 - 2024'!$K:$K=$B$173),'Cleaned Data 2020 - 2024'!$D:$D)</f>
        <v>550470</v>
      </c>
      <c r="C250" s="12" cm="1">
        <f t="array" ref="C250">_xlfn.XLOOKUP(1,('Cleaned Data 2020 - 2024'!B:B=A250)*('Cleaned Data 2020 - 2024'!K:K=$C$173),'Cleaned Data 2020 - 2024'!D:D)</f>
        <v>588170</v>
      </c>
      <c r="D250" s="12" cm="1">
        <f t="array" ref="D250">_xlfn.XLOOKUP(1,('Cleaned Data 2020 - 2024'!$B:$B=$A250)*('Cleaned Data 2020 - 2024'!$K:$K=$D$173),'Cleaned Data 2020 - 2024'!$D:$D)</f>
        <v>612520</v>
      </c>
      <c r="E250" s="12" cm="1">
        <f t="array" ref="E250">_xlfn.XLOOKUP(1,('Cleaned Data 2020 - 2024'!$B:$B=A250)*('Cleaned Data 2020 - 2024'!$K:$K=$E$173),'Cleaned Data 2020 - 2024'!$D:$D)</f>
        <v>612500</v>
      </c>
      <c r="F250" s="12" cm="1">
        <f t="array" ref="F250">_xlfn.XLOOKUP(1,('Cleaned Data 2020 - 2024'!$B:$B=A250)*('Cleaned Data 2020 - 2024'!$K:$K=$F$173),'Cleaned Data 2020 - 2024'!$D:$D)</f>
        <v>594230</v>
      </c>
      <c r="G250" s="27">
        <f t="shared" si="10"/>
        <v>43760</v>
      </c>
      <c r="H250" s="28">
        <f t="shared" si="11"/>
        <v>13</v>
      </c>
    </row>
    <row r="251" spans="1:8" hidden="1" x14ac:dyDescent="0.3">
      <c r="A251" s="23" t="s">
        <v>81</v>
      </c>
      <c r="B251" s="12" cm="1">
        <f t="array" ref="B251">_xlfn.XLOOKUP(1,('Cleaned Data 2020 - 2024'!$B:$B=Calculations!A251)*('Cleaned Data 2020 - 2024'!$K:$K=$B$173),'Cleaned Data 2020 - 2024'!$D:$D)</f>
        <v>548880</v>
      </c>
      <c r="C251" s="12" cm="1">
        <f t="array" ref="C251">_xlfn.XLOOKUP(1,('Cleaned Data 2020 - 2024'!B:B=A251)*('Cleaned Data 2020 - 2024'!K:K=$C$173),'Cleaned Data 2020 - 2024'!D:D)</f>
        <v>541030</v>
      </c>
      <c r="D251" s="12" cm="1">
        <f t="array" ref="D251">_xlfn.XLOOKUP(1,('Cleaned Data 2020 - 2024'!$B:$B=$A251)*('Cleaned Data 2020 - 2024'!$K:$K=$D$173),'Cleaned Data 2020 - 2024'!$D:$D)</f>
        <v>533020</v>
      </c>
      <c r="E251" s="12">
        <f>AVERAGE(B251:D251)</f>
        <v>540976.66666666663</v>
      </c>
      <c r="F251" s="12" cm="1">
        <f t="array" ref="F251">_xlfn.XLOOKUP(1,('Cleaned Data 2020 - 2024'!$B:$B=A251)*('Cleaned Data 2020 - 2024'!$K:$K=$F$173),'Cleaned Data 2020 - 2024'!$D:$D)</f>
        <v>586630</v>
      </c>
      <c r="G251" s="27">
        <f t="shared" si="10"/>
        <v>37750</v>
      </c>
      <c r="H251" s="28">
        <f t="shared" si="11"/>
        <v>19</v>
      </c>
    </row>
    <row r="252" spans="1:8" hidden="1" x14ac:dyDescent="0.3">
      <c r="A252" s="23" t="s">
        <v>120</v>
      </c>
      <c r="B252" s="12" cm="1">
        <f t="array" ref="B252">_xlfn.XLOOKUP(1,('Cleaned Data 2020 - 2024'!$B:$B=Calculations!A252)*('Cleaned Data 2020 - 2024'!$K:$K=$B$173),'Cleaned Data 2020 - 2024'!$D:$D)</f>
        <v>545620</v>
      </c>
      <c r="C252" s="12" cm="1">
        <f t="array" ref="C252">_xlfn.XLOOKUP(1,('Cleaned Data 2020 - 2024'!B:B=A252)*('Cleaned Data 2020 - 2024'!K:K=$C$173),'Cleaned Data 2020 - 2024'!D:D)</f>
        <v>567720</v>
      </c>
      <c r="D252" s="12" cm="1">
        <f t="array" ref="D252">_xlfn.XLOOKUP(1,('Cleaned Data 2020 - 2024'!$B:$B=$A252)*('Cleaned Data 2020 - 2024'!$K:$K=$D$173),'Cleaned Data 2020 - 2024'!$D:$D)</f>
        <v>576070</v>
      </c>
      <c r="E252" s="12" cm="1">
        <f t="array" ref="E252">_xlfn.XLOOKUP(1,('Cleaned Data 2020 - 2024'!$B:$B=A252)*('Cleaned Data 2020 - 2024'!$K:$K=$E$173),'Cleaned Data 2020 - 2024'!$D:$D)</f>
        <v>584020</v>
      </c>
      <c r="F252" s="12" cm="1">
        <f t="array" ref="F252">_xlfn.XLOOKUP(1,('Cleaned Data 2020 - 2024'!$B:$B=A252)*('Cleaned Data 2020 - 2024'!$K:$K=$F$173),'Cleaned Data 2020 - 2024'!$D:$D)</f>
        <v>569620</v>
      </c>
      <c r="G252" s="27">
        <f t="shared" si="10"/>
        <v>24000</v>
      </c>
      <c r="H252" s="28">
        <f t="shared" si="11"/>
        <v>33</v>
      </c>
    </row>
    <row r="253" spans="1:8" x14ac:dyDescent="0.3">
      <c r="A253" s="23" t="s">
        <v>79</v>
      </c>
      <c r="B253" s="12" cm="1">
        <f t="array" ref="B253">_xlfn.XLOOKUP(1,('Cleaned Data 2020 - 2024'!$B:$B=Calculations!A253)*('Cleaned Data 2020 - 2024'!$K:$K=$B$173),'Cleaned Data 2020 - 2024'!$D:$D)</f>
        <v>538430</v>
      </c>
      <c r="C253" s="12" cm="1">
        <f t="array" ref="C253">_xlfn.XLOOKUP(1,('Cleaned Data 2020 - 2024'!B:B=A253)*('Cleaned Data 2020 - 2024'!K:K=$C$173),'Cleaned Data 2020 - 2024'!D:D)</f>
        <v>538430</v>
      </c>
      <c r="D253" s="12" cm="1">
        <f t="array" ref="D253">_xlfn.XLOOKUP(1,('Cleaned Data 2020 - 2024'!$B:$B=$A253)*('Cleaned Data 2020 - 2024'!$K:$K=$D$173),'Cleaned Data 2020 - 2024'!$D:$D)</f>
        <v>571130</v>
      </c>
      <c r="E253" s="12" cm="1">
        <f t="array" ref="E253">_xlfn.XLOOKUP(1,('Cleaned Data 2020 - 2024'!$B:$B=A253)*('Cleaned Data 2020 - 2024'!$K:$K=$E$173),'Cleaned Data 2020 - 2024'!$D:$D)</f>
        <v>601230</v>
      </c>
      <c r="F253" s="12" cm="1">
        <f t="array" ref="F253">_xlfn.XLOOKUP(1,('Cleaned Data 2020 - 2024'!$B:$B=A253)*('Cleaned Data 2020 - 2024'!$K:$K=$F$173),'Cleaned Data 2020 - 2024'!$D:$D)</f>
        <v>597520</v>
      </c>
      <c r="G253" s="27">
        <f t="shared" si="10"/>
        <v>59090</v>
      </c>
      <c r="H253" s="28">
        <f t="shared" si="11"/>
        <v>9</v>
      </c>
    </row>
    <row r="254" spans="1:8" x14ac:dyDescent="0.3">
      <c r="A254" s="23" t="s">
        <v>94</v>
      </c>
      <c r="B254" s="12" cm="1">
        <f t="array" ref="B254">_xlfn.XLOOKUP(1,('Cleaned Data 2020 - 2024'!$B:$B=Calculations!A254)*('Cleaned Data 2020 - 2024'!$K:$K=$B$173),'Cleaned Data 2020 - 2024'!$D:$D)</f>
        <v>535350</v>
      </c>
      <c r="C254" s="12" cm="1">
        <f t="array" ref="C254">_xlfn.XLOOKUP(1,('Cleaned Data 2020 - 2024'!B:B=A254)*('Cleaned Data 2020 - 2024'!K:K=$C$173),'Cleaned Data 2020 - 2024'!D:D)</f>
        <v>541080</v>
      </c>
      <c r="D254" s="12" cm="1">
        <f t="array" ref="D254">_xlfn.XLOOKUP(1,('Cleaned Data 2020 - 2024'!$B:$B=$A254)*('Cleaned Data 2020 - 2024'!$K:$K=$D$173),'Cleaned Data 2020 - 2024'!$D:$D)</f>
        <v>548500</v>
      </c>
      <c r="E254" s="12" cm="1">
        <f t="array" ref="E254">_xlfn.XLOOKUP(1,('Cleaned Data 2020 - 2024'!$B:$B=A254)*('Cleaned Data 2020 - 2024'!$K:$K=$E$173),'Cleaned Data 2020 - 2024'!$D:$D)</f>
        <v>576330</v>
      </c>
      <c r="F254" s="12" cm="1">
        <f t="array" ref="F254">_xlfn.XLOOKUP(1,('Cleaned Data 2020 - 2024'!$B:$B=A254)*('Cleaned Data 2020 - 2024'!$K:$K=$F$173),'Cleaned Data 2020 - 2024'!$D:$D)</f>
        <v>604300</v>
      </c>
      <c r="G254" s="27">
        <f t="shared" si="10"/>
        <v>68950</v>
      </c>
      <c r="H254" s="28">
        <f t="shared" si="11"/>
        <v>4</v>
      </c>
    </row>
    <row r="255" spans="1:8" hidden="1" x14ac:dyDescent="0.3">
      <c r="A255" s="23" t="s">
        <v>93</v>
      </c>
      <c r="B255" s="12" cm="1">
        <f t="array" ref="B255">_xlfn.XLOOKUP(1,('Cleaned Data 2020 - 2024'!$B:$B=Calculations!A255)*('Cleaned Data 2020 - 2024'!$K:$K=$B$173),'Cleaned Data 2020 - 2024'!$D:$D)</f>
        <v>528560</v>
      </c>
      <c r="C255" s="12" cm="1">
        <f t="array" ref="C255">_xlfn.XLOOKUP(1,('Cleaned Data 2020 - 2024'!B:B=A255)*('Cleaned Data 2020 - 2024'!K:K=$C$173),'Cleaned Data 2020 - 2024'!D:D)</f>
        <v>534450</v>
      </c>
      <c r="D255" s="12" cm="1">
        <f t="array" ref="D255">_xlfn.XLOOKUP(1,('Cleaned Data 2020 - 2024'!$B:$B=$A255)*('Cleaned Data 2020 - 2024'!$K:$K=$D$173),'Cleaned Data 2020 - 2024'!$D:$D)</f>
        <v>523960</v>
      </c>
      <c r="E255" s="12" cm="1">
        <f t="array" ref="E255">_xlfn.XLOOKUP(1,('Cleaned Data 2020 - 2024'!$B:$B=A255)*('Cleaned Data 2020 - 2024'!$K:$K=$E$173),'Cleaned Data 2020 - 2024'!$D:$D)</f>
        <v>527690</v>
      </c>
      <c r="F255" s="12" cm="1">
        <f t="array" ref="F255">_xlfn.XLOOKUP(1,('Cleaned Data 2020 - 2024'!$B:$B=A255)*('Cleaned Data 2020 - 2024'!$K:$K=$F$173),'Cleaned Data 2020 - 2024'!$D:$D)</f>
        <v>556830</v>
      </c>
      <c r="G255" s="27">
        <f t="shared" si="10"/>
        <v>28270</v>
      </c>
      <c r="H255" s="28">
        <f t="shared" si="11"/>
        <v>27</v>
      </c>
    </row>
    <row r="256" spans="1:8" hidden="1" x14ac:dyDescent="0.3">
      <c r="A256" s="23" t="s">
        <v>171</v>
      </c>
      <c r="B256" s="12" cm="1">
        <f t="array" ref="B256">_xlfn.XLOOKUP(1,('Cleaned Data 2020 - 2024'!$B:$B=Calculations!A256)*('Cleaned Data 2020 - 2024'!$K:$K=$B$173),'Cleaned Data 2020 - 2024'!$D:$D)</f>
        <v>523330</v>
      </c>
      <c r="C256" s="12" cm="1">
        <f t="array" ref="C256">_xlfn.XLOOKUP(1,('Cleaned Data 2020 - 2024'!B:B=A256)*('Cleaned Data 2020 - 2024'!K:K=$C$173),'Cleaned Data 2020 - 2024'!D:D)</f>
        <v>530600</v>
      </c>
      <c r="D256" s="12" cm="1">
        <f t="array" ref="D256">_xlfn.XLOOKUP(1,('Cleaned Data 2020 - 2024'!$B:$B=$A256)*('Cleaned Data 2020 - 2024'!$K:$K=$D$173),'Cleaned Data 2020 - 2024'!$D:$D)</f>
        <v>523460</v>
      </c>
      <c r="E256" s="12" cm="1">
        <f t="array" ref="E256">_xlfn.XLOOKUP(1,('Cleaned Data 2020 - 2024'!$B:$B=A256)*('Cleaned Data 2020 - 2024'!$K:$K=$E$173),'Cleaned Data 2020 - 2024'!$D:$D)</f>
        <v>505270</v>
      </c>
      <c r="F256" s="12" cm="1">
        <f t="array" ref="F256">_xlfn.XLOOKUP(1,('Cleaned Data 2020 - 2024'!$B:$B=A256)*('Cleaned Data 2020 - 2024'!$K:$K=$F$173),'Cleaned Data 2020 - 2024'!$D:$D)</f>
        <v>508010</v>
      </c>
      <c r="G256" s="27">
        <f t="shared" si="10"/>
        <v>-15320</v>
      </c>
      <c r="H256" s="28">
        <f t="shared" si="11"/>
        <v>114</v>
      </c>
    </row>
    <row r="257" spans="1:8" hidden="1" x14ac:dyDescent="0.3">
      <c r="A257" s="23" t="s">
        <v>175</v>
      </c>
      <c r="B257" s="12" cm="1">
        <f t="array" ref="B257">_xlfn.XLOOKUP(1,('Cleaned Data 2020 - 2024'!$B:$B=Calculations!A257)*('Cleaned Data 2020 - 2024'!$K:$K=$B$173),'Cleaned Data 2020 - 2024'!$D:$D)</f>
        <v>521600</v>
      </c>
      <c r="C257" s="12" cm="1">
        <f t="array" ref="C257">_xlfn.XLOOKUP(1,('Cleaned Data 2020 - 2024'!B:B=A257)*('Cleaned Data 2020 - 2024'!K:K=$C$173),'Cleaned Data 2020 - 2024'!D:D)</f>
        <v>504520</v>
      </c>
      <c r="D257" s="12" cm="1">
        <f t="array" ref="D257">_xlfn.XLOOKUP(1,('Cleaned Data 2020 - 2024'!$B:$B=$A257)*('Cleaned Data 2020 - 2024'!$K:$K=$D$173),'Cleaned Data 2020 - 2024'!$D:$D)</f>
        <v>462320</v>
      </c>
      <c r="E257" s="12" cm="1">
        <f t="array" ref="E257">_xlfn.XLOOKUP(1,('Cleaned Data 2020 - 2024'!$B:$B=A257)*('Cleaned Data 2020 - 2024'!$K:$K=$E$173),'Cleaned Data 2020 - 2024'!$D:$D)</f>
        <v>437370</v>
      </c>
      <c r="F257" s="12" cm="1">
        <f t="array" ref="F257">_xlfn.XLOOKUP(1,('Cleaned Data 2020 - 2024'!$B:$B=A257)*('Cleaned Data 2020 - 2024'!$K:$K=$F$173),'Cleaned Data 2020 - 2024'!$D:$D)</f>
        <v>437740</v>
      </c>
      <c r="G257" s="27">
        <f t="shared" si="10"/>
        <v>-83860</v>
      </c>
      <c r="H257" s="28">
        <f t="shared" si="11"/>
        <v>150</v>
      </c>
    </row>
    <row r="258" spans="1:8" hidden="1" x14ac:dyDescent="0.3">
      <c r="A258" s="23" t="s">
        <v>190</v>
      </c>
      <c r="B258" s="12" cm="1">
        <f t="array" ref="B258">_xlfn.XLOOKUP(1,('Cleaned Data 2020 - 2024'!$B:$B=Calculations!A258)*('Cleaned Data 2020 - 2024'!$K:$K=$B$173),'Cleaned Data 2020 - 2024'!$D:$D)</f>
        <v>519760</v>
      </c>
      <c r="C258" s="12" cm="1">
        <f t="array" ref="C258">_xlfn.XLOOKUP(1,('Cleaned Data 2020 - 2024'!B:B=A258)*('Cleaned Data 2020 - 2024'!K:K=$C$173),'Cleaned Data 2020 - 2024'!D:D)</f>
        <v>519760</v>
      </c>
      <c r="D258" s="12">
        <f>AVERAGE(B258:C258)</f>
        <v>519760</v>
      </c>
      <c r="E258" s="12">
        <f>AVERAGE(C258:D258)</f>
        <v>519760</v>
      </c>
      <c r="F258" s="12">
        <f>AVERAGE(D258:E258)</f>
        <v>519760</v>
      </c>
      <c r="G258" s="27">
        <f t="shared" si="10"/>
        <v>0</v>
      </c>
      <c r="H258" s="28">
        <f t="shared" si="11"/>
        <v>82</v>
      </c>
    </row>
    <row r="259" spans="1:8" hidden="1" x14ac:dyDescent="0.3">
      <c r="A259" s="23" t="s">
        <v>159</v>
      </c>
      <c r="B259" s="12" cm="1">
        <f t="array" ref="B259">_xlfn.XLOOKUP(1,('Cleaned Data 2020 - 2024'!$B:$B=Calculations!A259)*('Cleaned Data 2020 - 2024'!$K:$K=$B$173),'Cleaned Data 2020 - 2024'!$D:$D)</f>
        <v>519440</v>
      </c>
      <c r="C259" s="12" cm="1">
        <f t="array" ref="C259">_xlfn.XLOOKUP(1,('Cleaned Data 2020 - 2024'!B:B=A259)*('Cleaned Data 2020 - 2024'!K:K=$C$173),'Cleaned Data 2020 - 2024'!D:D)</f>
        <v>534170</v>
      </c>
      <c r="D259" s="12">
        <f>AVERAGE(B259:C259)</f>
        <v>526805</v>
      </c>
      <c r="E259" s="12" cm="1">
        <f t="array" ref="E259">_xlfn.XLOOKUP(1,('Cleaned Data 2020 - 2024'!$B:$B=A259)*('Cleaned Data 2020 - 2024'!$K:$K=$E$173),'Cleaned Data 2020 - 2024'!$D:$D)</f>
        <v>526710</v>
      </c>
      <c r="F259" s="12" cm="1">
        <f t="array" ref="F259">_xlfn.XLOOKUP(1,('Cleaned Data 2020 - 2024'!$B:$B=A259)*('Cleaned Data 2020 - 2024'!$K:$K=$F$173),'Cleaned Data 2020 - 2024'!$D:$D)</f>
        <v>522150</v>
      </c>
      <c r="G259" s="27">
        <f t="shared" si="10"/>
        <v>2710</v>
      </c>
      <c r="H259" s="28">
        <f t="shared" si="11"/>
        <v>74</v>
      </c>
    </row>
    <row r="260" spans="1:8" hidden="1" x14ac:dyDescent="0.3">
      <c r="A260" s="23" t="s">
        <v>100</v>
      </c>
      <c r="B260" s="12" cm="1">
        <f t="array" ref="B260">_xlfn.XLOOKUP(1,('Cleaned Data 2020 - 2024'!$B:$B=Calculations!A260)*('Cleaned Data 2020 - 2024'!$K:$K=$B$173),'Cleaned Data 2020 - 2024'!$D:$D)</f>
        <v>516480</v>
      </c>
      <c r="C260" s="12" cm="1">
        <f t="array" ref="C260">_xlfn.XLOOKUP(1,('Cleaned Data 2020 - 2024'!B:B=A260)*('Cleaned Data 2020 - 2024'!K:K=$C$173),'Cleaned Data 2020 - 2024'!D:D)</f>
        <v>517080</v>
      </c>
      <c r="D260" s="12" cm="1">
        <f t="array" ref="D260">_xlfn.XLOOKUP(1,('Cleaned Data 2020 - 2024'!$B:$B=$A260)*('Cleaned Data 2020 - 2024'!$K:$K=$D$173),'Cleaned Data 2020 - 2024'!$D:$D)</f>
        <v>517340</v>
      </c>
      <c r="E260" s="12">
        <f>AVERAGE(B260:D260)</f>
        <v>516966.66666666669</v>
      </c>
      <c r="F260" s="12" cm="1">
        <f t="array" ref="F260">_xlfn.XLOOKUP(1,('Cleaned Data 2020 - 2024'!$B:$B=A260)*('Cleaned Data 2020 - 2024'!$K:$K=$F$173),'Cleaned Data 2020 - 2024'!$D:$D)</f>
        <v>489340</v>
      </c>
      <c r="G260" s="27">
        <f t="shared" si="10"/>
        <v>-27140</v>
      </c>
      <c r="H260" s="28">
        <f t="shared" si="11"/>
        <v>129</v>
      </c>
    </row>
    <row r="261" spans="1:8" hidden="1" x14ac:dyDescent="0.3">
      <c r="A261" s="23" t="s">
        <v>113</v>
      </c>
      <c r="B261" s="12" cm="1">
        <f t="array" ref="B261">_xlfn.XLOOKUP(1,('Cleaned Data 2020 - 2024'!$B:$B=Calculations!A261)*('Cleaned Data 2020 - 2024'!$K:$K=$B$173),'Cleaned Data 2020 - 2024'!$D:$D)</f>
        <v>515980</v>
      </c>
      <c r="C261" s="12">
        <f>B261</f>
        <v>515980</v>
      </c>
      <c r="D261" s="12">
        <f>AVERAGE(B261:C261)</f>
        <v>515980</v>
      </c>
      <c r="E261" s="12">
        <f>AVERAGE(C261:D261)</f>
        <v>515980</v>
      </c>
      <c r="F261" s="12">
        <f>AVERAGE(D261:E261)</f>
        <v>515980</v>
      </c>
      <c r="G261" s="27">
        <f t="shared" si="10"/>
        <v>0</v>
      </c>
      <c r="H261" s="28">
        <f t="shared" si="11"/>
        <v>82</v>
      </c>
    </row>
    <row r="262" spans="1:8" hidden="1" x14ac:dyDescent="0.3">
      <c r="A262" s="23" t="s">
        <v>134</v>
      </c>
      <c r="B262" s="12" cm="1">
        <f t="array" ref="B262">_xlfn.XLOOKUP(1,('Cleaned Data 2020 - 2024'!$B:$B=Calculations!A262)*('Cleaned Data 2020 - 2024'!$K:$K=$B$173),'Cleaned Data 2020 - 2024'!$D:$D)</f>
        <v>514800</v>
      </c>
      <c r="C262" s="12" cm="1">
        <f t="array" ref="C262">_xlfn.XLOOKUP(1,('Cleaned Data 2020 - 2024'!B:B=A262)*('Cleaned Data 2020 - 2024'!K:K=$C$173),'Cleaned Data 2020 - 2024'!D:D)</f>
        <v>508840</v>
      </c>
      <c r="D262" s="12" cm="1">
        <f t="array" ref="D262">_xlfn.XLOOKUP(1,('Cleaned Data 2020 - 2024'!$B:$B=$A262)*('Cleaned Data 2020 - 2024'!$K:$K=$D$173),'Cleaned Data 2020 - 2024'!$D:$D)</f>
        <v>487200</v>
      </c>
      <c r="E262" s="12" cm="1">
        <f t="array" ref="E262">_xlfn.XLOOKUP(1,('Cleaned Data 2020 - 2024'!$B:$B=A262)*('Cleaned Data 2020 - 2024'!$K:$K=$E$173),'Cleaned Data 2020 - 2024'!$D:$D)</f>
        <v>460500</v>
      </c>
      <c r="F262" s="12" cm="1">
        <f t="array" ref="F262">_xlfn.XLOOKUP(1,('Cleaned Data 2020 - 2024'!$B:$B=A262)*('Cleaned Data 2020 - 2024'!$K:$K=$F$173),'Cleaned Data 2020 - 2024'!$D:$D)</f>
        <v>428940</v>
      </c>
      <c r="G262" s="27">
        <f t="shared" si="10"/>
        <v>-85860</v>
      </c>
      <c r="H262" s="28">
        <f t="shared" si="11"/>
        <v>152</v>
      </c>
    </row>
    <row r="263" spans="1:8" hidden="1" x14ac:dyDescent="0.3">
      <c r="A263" s="23" t="s">
        <v>141</v>
      </c>
      <c r="B263" s="12" cm="1">
        <f t="array" ref="B263">_xlfn.XLOOKUP(1,('Cleaned Data 2020 - 2024'!$B:$B=Calculations!A263)*('Cleaned Data 2020 - 2024'!$K:$K=$B$173),'Cleaned Data 2020 - 2024'!$D:$D)</f>
        <v>513720</v>
      </c>
      <c r="C263" s="12" cm="1">
        <f t="array" ref="C263">_xlfn.XLOOKUP(1,('Cleaned Data 2020 - 2024'!B:B=A263)*('Cleaned Data 2020 - 2024'!K:K=$C$173),'Cleaned Data 2020 - 2024'!D:D)</f>
        <v>526890</v>
      </c>
      <c r="D263" s="12" cm="1">
        <f t="array" ref="D263">_xlfn.XLOOKUP(1,('Cleaned Data 2020 - 2024'!$B:$B=$A263)*('Cleaned Data 2020 - 2024'!$K:$K=$D$173),'Cleaned Data 2020 - 2024'!$D:$D)</f>
        <v>537650</v>
      </c>
      <c r="E263" s="12" cm="1">
        <f t="array" ref="E263">_xlfn.XLOOKUP(1,('Cleaned Data 2020 - 2024'!$B:$B=A263)*('Cleaned Data 2020 - 2024'!$K:$K=$E$173),'Cleaned Data 2020 - 2024'!$D:$D)</f>
        <v>536030</v>
      </c>
      <c r="F263" s="12" cm="1">
        <f t="array" ref="F263">_xlfn.XLOOKUP(1,('Cleaned Data 2020 - 2024'!$B:$B=A263)*('Cleaned Data 2020 - 2024'!$K:$K=$F$173),'Cleaned Data 2020 - 2024'!$D:$D)</f>
        <v>515840</v>
      </c>
      <c r="G263" s="27">
        <f t="shared" si="10"/>
        <v>2120</v>
      </c>
      <c r="H263" s="28">
        <f t="shared" si="11"/>
        <v>77</v>
      </c>
    </row>
    <row r="264" spans="1:8" hidden="1" x14ac:dyDescent="0.3">
      <c r="A264" s="23" t="s">
        <v>95</v>
      </c>
      <c r="B264" s="12" cm="1">
        <f t="array" ref="B264">_xlfn.XLOOKUP(1,('Cleaned Data 2020 - 2024'!$B:$B=Calculations!A264)*('Cleaned Data 2020 - 2024'!$K:$K=$B$173),'Cleaned Data 2020 - 2024'!$D:$D)</f>
        <v>513180</v>
      </c>
      <c r="C264" s="12" cm="1">
        <f t="array" ref="C264">_xlfn.XLOOKUP(1,('Cleaned Data 2020 - 2024'!B:B=A264)*('Cleaned Data 2020 - 2024'!K:K=$C$173),'Cleaned Data 2020 - 2024'!D:D)</f>
        <v>494760</v>
      </c>
      <c r="D264" s="12" cm="1">
        <f t="array" ref="D264">_xlfn.XLOOKUP(1,('Cleaned Data 2020 - 2024'!$B:$B=$A264)*('Cleaned Data 2020 - 2024'!$K:$K=$D$173),'Cleaned Data 2020 - 2024'!$D:$D)</f>
        <v>474420</v>
      </c>
      <c r="E264" s="12">
        <f>AVERAGE(B264:D264)</f>
        <v>494120</v>
      </c>
      <c r="F264" s="12">
        <f>AVERAGE(B264:E264)</f>
        <v>494120</v>
      </c>
      <c r="G264" s="27">
        <f t="shared" si="10"/>
        <v>-19060</v>
      </c>
      <c r="H264" s="28">
        <f t="shared" si="11"/>
        <v>119</v>
      </c>
    </row>
    <row r="265" spans="1:8" x14ac:dyDescent="0.3">
      <c r="A265" s="23" t="s">
        <v>104</v>
      </c>
      <c r="B265" s="12" cm="1">
        <f t="array" ref="B265">_xlfn.XLOOKUP(1,('Cleaned Data 2020 - 2024'!$B:$B=Calculations!A265)*('Cleaned Data 2020 - 2024'!$K:$K=$B$173),'Cleaned Data 2020 - 2024'!$D:$D)</f>
        <v>512390</v>
      </c>
      <c r="C265" s="12" cm="1">
        <f t="array" ref="C265">_xlfn.XLOOKUP(1,('Cleaned Data 2020 - 2024'!B:B=A265)*('Cleaned Data 2020 - 2024'!K:K=$C$173),'Cleaned Data 2020 - 2024'!D:D)</f>
        <v>533910</v>
      </c>
      <c r="D265" s="12" cm="1">
        <f t="array" ref="D265">_xlfn.XLOOKUP(1,('Cleaned Data 2020 - 2024'!$B:$B=$A265)*('Cleaned Data 2020 - 2024'!$K:$K=$D$173),'Cleaned Data 2020 - 2024'!$D:$D)</f>
        <v>558530</v>
      </c>
      <c r="E265" s="12" cm="1">
        <f t="array" ref="E265">_xlfn.XLOOKUP(1,('Cleaned Data 2020 - 2024'!$B:$B=A265)*('Cleaned Data 2020 - 2024'!$K:$K=$E$173),'Cleaned Data 2020 - 2024'!$D:$D)</f>
        <v>581790</v>
      </c>
      <c r="F265" s="12" cm="1">
        <f t="array" ref="F265">_xlfn.XLOOKUP(1,('Cleaned Data 2020 - 2024'!$B:$B=A265)*('Cleaned Data 2020 - 2024'!$K:$K=$F$173),'Cleaned Data 2020 - 2024'!$D:$D)</f>
        <v>597270</v>
      </c>
      <c r="G265" s="27">
        <f t="shared" si="10"/>
        <v>84880</v>
      </c>
      <c r="H265" s="28">
        <f t="shared" si="11"/>
        <v>2</v>
      </c>
    </row>
    <row r="266" spans="1:8" hidden="1" x14ac:dyDescent="0.3">
      <c r="A266" s="23" t="s">
        <v>88</v>
      </c>
      <c r="B266" s="12" cm="1">
        <f t="array" ref="B266">_xlfn.XLOOKUP(1,('Cleaned Data 2020 - 2024'!$B:$B=Calculations!A266)*('Cleaned Data 2020 - 2024'!$K:$K=$B$173),'Cleaned Data 2020 - 2024'!$D:$D)</f>
        <v>511910</v>
      </c>
      <c r="C266" s="12" cm="1">
        <f t="array" ref="C266">_xlfn.XLOOKUP(1,('Cleaned Data 2020 - 2024'!B:B=A266)*('Cleaned Data 2020 - 2024'!K:K=$C$173),'Cleaned Data 2020 - 2024'!D:D)</f>
        <v>506640</v>
      </c>
      <c r="D266" s="12" cm="1">
        <f t="array" ref="D266">_xlfn.XLOOKUP(1,('Cleaned Data 2020 - 2024'!$B:$B=$A266)*('Cleaned Data 2020 - 2024'!$K:$K=$D$173),'Cleaned Data 2020 - 2024'!$D:$D)</f>
        <v>547430</v>
      </c>
      <c r="E266" s="12">
        <f>AVERAGE(B266:D266)</f>
        <v>521993.33333333331</v>
      </c>
      <c r="F266" s="12">
        <f>AVERAGE(B266:E266)</f>
        <v>521993.33333333331</v>
      </c>
      <c r="G266" s="27">
        <f t="shared" si="10"/>
        <v>10083.333333333314</v>
      </c>
      <c r="H266" s="28">
        <f t="shared" si="11"/>
        <v>60</v>
      </c>
    </row>
    <row r="267" spans="1:8" hidden="1" x14ac:dyDescent="0.3">
      <c r="A267" s="23" t="s">
        <v>154</v>
      </c>
      <c r="B267" s="12" cm="1">
        <f t="array" ref="B267">_xlfn.XLOOKUP(1,('Cleaned Data 2020 - 2024'!$B:$B=Calculations!A267)*('Cleaned Data 2020 - 2024'!$K:$K=$B$173),'Cleaned Data 2020 - 2024'!$D:$D)</f>
        <v>510150</v>
      </c>
      <c r="C267" s="12" cm="1">
        <f t="array" ref="C267">_xlfn.XLOOKUP(1,('Cleaned Data 2020 - 2024'!B:B=A267)*('Cleaned Data 2020 - 2024'!K:K=$C$173),'Cleaned Data 2020 - 2024'!D:D)</f>
        <v>526550</v>
      </c>
      <c r="D267" s="12" cm="1">
        <f t="array" ref="D267">_xlfn.XLOOKUP(1,('Cleaned Data 2020 - 2024'!$B:$B=$A267)*('Cleaned Data 2020 - 2024'!$K:$K=$D$173),'Cleaned Data 2020 - 2024'!$D:$D)</f>
        <v>537090</v>
      </c>
      <c r="E267" s="12" cm="1">
        <f t="array" ref="E267">_xlfn.XLOOKUP(1,('Cleaned Data 2020 - 2024'!$B:$B=A267)*('Cleaned Data 2020 - 2024'!$K:$K=$E$173),'Cleaned Data 2020 - 2024'!$D:$D)</f>
        <v>546610</v>
      </c>
      <c r="F267" s="12" cm="1">
        <f t="array" ref="F267">_xlfn.XLOOKUP(1,('Cleaned Data 2020 - 2024'!$B:$B=A267)*('Cleaned Data 2020 - 2024'!$K:$K=$F$173),'Cleaned Data 2020 - 2024'!$D:$D)</f>
        <v>546270</v>
      </c>
      <c r="G267" s="27">
        <f t="shared" si="10"/>
        <v>36120</v>
      </c>
      <c r="H267" s="28">
        <f t="shared" si="11"/>
        <v>21</v>
      </c>
    </row>
    <row r="268" spans="1:8" hidden="1" x14ac:dyDescent="0.3">
      <c r="A268" s="23" t="s">
        <v>112</v>
      </c>
      <c r="B268" s="12" cm="1">
        <f t="array" ref="B268">_xlfn.XLOOKUP(1,('Cleaned Data 2020 - 2024'!$B:$B=Calculations!A268)*('Cleaned Data 2020 - 2024'!$K:$K=$B$173),'Cleaned Data 2020 - 2024'!$D:$D)</f>
        <v>509480</v>
      </c>
      <c r="C268" s="12" cm="1">
        <f t="array" ref="C268">_xlfn.XLOOKUP(1,('Cleaned Data 2020 - 2024'!B:B=A268)*('Cleaned Data 2020 - 2024'!K:K=$C$173),'Cleaned Data 2020 - 2024'!D:D)</f>
        <v>491800</v>
      </c>
      <c r="D268" s="12" cm="1">
        <f t="array" ref="D268">_xlfn.XLOOKUP(1,('Cleaned Data 2020 - 2024'!$B:$B=$A268)*('Cleaned Data 2020 - 2024'!$K:$K=$D$173),'Cleaned Data 2020 - 2024'!$D:$D)</f>
        <v>505990</v>
      </c>
      <c r="E268" s="12" cm="1">
        <f t="array" ref="E268">_xlfn.XLOOKUP(1,('Cleaned Data 2020 - 2024'!$B:$B=A268)*('Cleaned Data 2020 - 2024'!$K:$K=$E$173),'Cleaned Data 2020 - 2024'!$D:$D)</f>
        <v>490280</v>
      </c>
      <c r="F268" s="12" cm="1">
        <f t="array" ref="F268">_xlfn.XLOOKUP(1,('Cleaned Data 2020 - 2024'!$B:$B=A268)*('Cleaned Data 2020 - 2024'!$K:$K=$F$173),'Cleaned Data 2020 - 2024'!$D:$D)</f>
        <v>479470</v>
      </c>
      <c r="G268" s="27">
        <f t="shared" si="10"/>
        <v>-30010</v>
      </c>
      <c r="H268" s="28">
        <f t="shared" si="11"/>
        <v>132</v>
      </c>
    </row>
    <row r="269" spans="1:8" hidden="1" x14ac:dyDescent="0.3">
      <c r="A269" s="23" t="s">
        <v>153</v>
      </c>
      <c r="B269" s="12" cm="1">
        <f t="array" ref="B269">_xlfn.XLOOKUP(1,('Cleaned Data 2020 - 2024'!$B:$B=Calculations!A269)*('Cleaned Data 2020 - 2024'!$K:$K=$B$173),'Cleaned Data 2020 - 2024'!$D:$D)</f>
        <v>508490</v>
      </c>
      <c r="C269" s="12" cm="1">
        <f t="array" ref="C269">_xlfn.XLOOKUP(1,('Cleaned Data 2020 - 2024'!B:B=A269)*('Cleaned Data 2020 - 2024'!K:K=$C$173),'Cleaned Data 2020 - 2024'!D:D)</f>
        <v>514180</v>
      </c>
      <c r="D269" s="12" cm="1">
        <f t="array" ref="D269">_xlfn.XLOOKUP(1,('Cleaned Data 2020 - 2024'!$B:$B=$A269)*('Cleaned Data 2020 - 2024'!$K:$K=$D$173),'Cleaned Data 2020 - 2024'!$D:$D)</f>
        <v>504760</v>
      </c>
      <c r="E269" s="12" cm="1">
        <f t="array" ref="E269">_xlfn.XLOOKUP(1,('Cleaned Data 2020 - 2024'!$B:$B=A269)*('Cleaned Data 2020 - 2024'!$K:$K=$E$173),'Cleaned Data 2020 - 2024'!$D:$D)</f>
        <v>497320</v>
      </c>
      <c r="F269" s="12" cm="1">
        <f t="array" ref="F269">_xlfn.XLOOKUP(1,('Cleaned Data 2020 - 2024'!$B:$B=A269)*('Cleaned Data 2020 - 2024'!$K:$K=$F$173),'Cleaned Data 2020 - 2024'!$D:$D)</f>
        <v>487440</v>
      </c>
      <c r="G269" s="27">
        <f t="shared" si="10"/>
        <v>-21050</v>
      </c>
      <c r="H269" s="28">
        <f t="shared" si="11"/>
        <v>122</v>
      </c>
    </row>
    <row r="270" spans="1:8" x14ac:dyDescent="0.3">
      <c r="A270" s="23" t="s">
        <v>37</v>
      </c>
      <c r="B270" s="12" cm="1">
        <f t="array" ref="B270">_xlfn.XLOOKUP(1,('Cleaned Data 2020 - 2024'!$B:$B=Calculations!A270)*('Cleaned Data 2020 - 2024'!$K:$K=$B$173),'Cleaned Data 2020 - 2024'!$D:$D)</f>
        <v>505320</v>
      </c>
      <c r="C270" s="12" cm="1">
        <f t="array" ref="C270">_xlfn.XLOOKUP(1,('Cleaned Data 2020 - 2024'!B:B=A270)*('Cleaned Data 2020 - 2024'!K:K=$C$173),'Cleaned Data 2020 - 2024'!D:D)</f>
        <v>489220</v>
      </c>
      <c r="D270" s="12" cm="1">
        <f t="array" ref="D270">_xlfn.XLOOKUP(1,('Cleaned Data 2020 - 2024'!$B:$B=$A270)*('Cleaned Data 2020 - 2024'!$K:$K=$D$173),'Cleaned Data 2020 - 2024'!$D:$D)</f>
        <v>492550</v>
      </c>
      <c r="E270" s="12" cm="1">
        <f t="array" ref="E270">_xlfn.XLOOKUP(1,('Cleaned Data 2020 - 2024'!$B:$B=A270)*('Cleaned Data 2020 - 2024'!$K:$K=$E$173),'Cleaned Data 2020 - 2024'!$D:$D)</f>
        <v>521060</v>
      </c>
      <c r="F270" s="12" cm="1">
        <f t="array" ref="F270">_xlfn.XLOOKUP(1,('Cleaned Data 2020 - 2024'!$B:$B=A270)*('Cleaned Data 2020 - 2024'!$K:$K=$F$173),'Cleaned Data 2020 - 2024'!$D:$D)</f>
        <v>560670</v>
      </c>
      <c r="G270" s="27">
        <f t="shared" ref="G270:G301" si="12">F270-B270</f>
        <v>55350</v>
      </c>
      <c r="H270" s="28">
        <f t="shared" ref="H270:H301" si="13">_xlfn.RANK.EQ(G270,$G$174:$G$329,0)</f>
        <v>10</v>
      </c>
    </row>
    <row r="271" spans="1:8" hidden="1" x14ac:dyDescent="0.3">
      <c r="A271" s="23" t="s">
        <v>86</v>
      </c>
      <c r="B271" s="12" cm="1">
        <f t="array" ref="B271">_xlfn.XLOOKUP(1,('Cleaned Data 2020 - 2024'!$B:$B=Calculations!A271)*('Cleaned Data 2020 - 2024'!$K:$K=$B$173),'Cleaned Data 2020 - 2024'!$D:$D)</f>
        <v>500510</v>
      </c>
      <c r="C271" s="12" cm="1">
        <f t="array" ref="C271">_xlfn.XLOOKUP(1,('Cleaned Data 2020 - 2024'!B:B=A271)*('Cleaned Data 2020 - 2024'!K:K=$C$173),'Cleaned Data 2020 - 2024'!D:D)</f>
        <v>488710</v>
      </c>
      <c r="D271" s="12" cm="1">
        <f t="array" ref="D271">_xlfn.XLOOKUP(1,('Cleaned Data 2020 - 2024'!$B:$B=$A271)*('Cleaned Data 2020 - 2024'!$K:$K=$D$173),'Cleaned Data 2020 - 2024'!$D:$D)</f>
        <v>512230</v>
      </c>
      <c r="E271" s="12" cm="1">
        <f t="array" ref="E271">_xlfn.XLOOKUP(1,('Cleaned Data 2020 - 2024'!$B:$B=A271)*('Cleaned Data 2020 - 2024'!$K:$K=$E$173),'Cleaned Data 2020 - 2024'!$D:$D)</f>
        <v>532910</v>
      </c>
      <c r="F271" s="12" cm="1">
        <f t="array" ref="F271">_xlfn.XLOOKUP(1,('Cleaned Data 2020 - 2024'!$B:$B=A271)*('Cleaned Data 2020 - 2024'!$K:$K=$F$173),'Cleaned Data 2020 - 2024'!$D:$D)</f>
        <v>536350</v>
      </c>
      <c r="G271" s="27">
        <f t="shared" si="12"/>
        <v>35840</v>
      </c>
      <c r="H271" s="28">
        <f t="shared" si="13"/>
        <v>22</v>
      </c>
    </row>
    <row r="272" spans="1:8" hidden="1" x14ac:dyDescent="0.3">
      <c r="A272" s="23" t="s">
        <v>162</v>
      </c>
      <c r="B272" s="12" cm="1">
        <f t="array" ref="B272">_xlfn.XLOOKUP(1,('Cleaned Data 2020 - 2024'!$B:$B=Calculations!A272)*('Cleaned Data 2020 - 2024'!$K:$K=$B$173),'Cleaned Data 2020 - 2024'!$D:$D)</f>
        <v>498080</v>
      </c>
      <c r="C272" s="12" cm="1">
        <f t="array" ref="C272">_xlfn.XLOOKUP(1,('Cleaned Data 2020 - 2024'!B:B=A272)*('Cleaned Data 2020 - 2024'!K:K=$C$173),'Cleaned Data 2020 - 2024'!D:D)</f>
        <v>513180</v>
      </c>
      <c r="D272" s="12" cm="1">
        <f t="array" ref="D272">_xlfn.XLOOKUP(1,('Cleaned Data 2020 - 2024'!$B:$B=$A272)*('Cleaned Data 2020 - 2024'!$K:$K=$D$173),'Cleaned Data 2020 - 2024'!$D:$D)</f>
        <v>504610</v>
      </c>
      <c r="E272" s="12" cm="1">
        <f t="array" ref="E272">_xlfn.XLOOKUP(1,('Cleaned Data 2020 - 2024'!$B:$B=A272)*('Cleaned Data 2020 - 2024'!$K:$K=$E$173),'Cleaned Data 2020 - 2024'!$D:$D)</f>
        <v>485510</v>
      </c>
      <c r="F272" s="12" cm="1">
        <f t="array" ref="F272">_xlfn.XLOOKUP(1,('Cleaned Data 2020 - 2024'!$B:$B=A272)*('Cleaned Data 2020 - 2024'!$K:$K=$F$173),'Cleaned Data 2020 - 2024'!$D:$D)</f>
        <v>496860</v>
      </c>
      <c r="G272" s="27">
        <f t="shared" si="12"/>
        <v>-1220</v>
      </c>
      <c r="H272" s="28">
        <f t="shared" si="13"/>
        <v>91</v>
      </c>
    </row>
    <row r="273" spans="1:8" hidden="1" x14ac:dyDescent="0.3">
      <c r="A273" s="23" t="s">
        <v>170</v>
      </c>
      <c r="B273" s="12" cm="1">
        <f t="array" ref="B273">_xlfn.XLOOKUP(1,('Cleaned Data 2020 - 2024'!$B:$B=Calculations!A273)*('Cleaned Data 2020 - 2024'!$K:$K=$B$173),'Cleaned Data 2020 - 2024'!$D:$D)</f>
        <v>494930</v>
      </c>
      <c r="C273" s="12" cm="1">
        <f t="array" ref="C273">_xlfn.XLOOKUP(1,('Cleaned Data 2020 - 2024'!B:B=A273)*('Cleaned Data 2020 - 2024'!K:K=$C$173),'Cleaned Data 2020 - 2024'!D:D)</f>
        <v>498430</v>
      </c>
      <c r="D273" s="12" cm="1">
        <f t="array" ref="D273">_xlfn.XLOOKUP(1,('Cleaned Data 2020 - 2024'!$B:$B=$A273)*('Cleaned Data 2020 - 2024'!$K:$K=$D$173),'Cleaned Data 2020 - 2024'!$D:$D)</f>
        <v>489050</v>
      </c>
      <c r="E273" s="12" cm="1">
        <f t="array" ref="E273">_xlfn.XLOOKUP(1,('Cleaned Data 2020 - 2024'!$B:$B=A273)*('Cleaned Data 2020 - 2024'!$K:$K=$E$173),'Cleaned Data 2020 - 2024'!$D:$D)</f>
        <v>507170</v>
      </c>
      <c r="F273" s="12" cm="1">
        <f t="array" ref="F273">_xlfn.XLOOKUP(1,('Cleaned Data 2020 - 2024'!$B:$B=A273)*('Cleaned Data 2020 - 2024'!$K:$K=$F$173),'Cleaned Data 2020 - 2024'!$D:$D)</f>
        <v>502330</v>
      </c>
      <c r="G273" s="27">
        <f t="shared" si="12"/>
        <v>7400</v>
      </c>
      <c r="H273" s="28">
        <f t="shared" si="13"/>
        <v>61</v>
      </c>
    </row>
    <row r="274" spans="1:8" hidden="1" x14ac:dyDescent="0.3">
      <c r="A274" s="23" t="s">
        <v>164</v>
      </c>
      <c r="B274" s="12" cm="1">
        <f t="array" ref="B274">_xlfn.XLOOKUP(1,('Cleaned Data 2020 - 2024'!$B:$B=Calculations!A274)*('Cleaned Data 2020 - 2024'!$K:$K=$B$173),'Cleaned Data 2020 - 2024'!$D:$D)</f>
        <v>490960</v>
      </c>
      <c r="C274" s="12" cm="1">
        <f t="array" ref="C274">_xlfn.XLOOKUP(1,('Cleaned Data 2020 - 2024'!B:B=A274)*('Cleaned Data 2020 - 2024'!K:K=$C$173),'Cleaned Data 2020 - 2024'!D:D)</f>
        <v>507410</v>
      </c>
      <c r="D274" s="12" cm="1">
        <f t="array" ref="D274">_xlfn.XLOOKUP(1,('Cleaned Data 2020 - 2024'!$B:$B=$A274)*('Cleaned Data 2020 - 2024'!$K:$K=$D$173),'Cleaned Data 2020 - 2024'!$D:$D)</f>
        <v>500350</v>
      </c>
      <c r="E274" s="12" cm="1">
        <f t="array" ref="E274">_xlfn.XLOOKUP(1,('Cleaned Data 2020 - 2024'!$B:$B=A274)*('Cleaned Data 2020 - 2024'!$K:$K=$E$173),'Cleaned Data 2020 - 2024'!$D:$D)</f>
        <v>450130</v>
      </c>
      <c r="F274" s="12" cm="1">
        <f t="array" ref="F274">_xlfn.XLOOKUP(1,('Cleaned Data 2020 - 2024'!$B:$B=A274)*('Cleaned Data 2020 - 2024'!$K:$K=$F$173),'Cleaned Data 2020 - 2024'!$D:$D)</f>
        <v>455630</v>
      </c>
      <c r="G274" s="27">
        <f t="shared" si="12"/>
        <v>-35330</v>
      </c>
      <c r="H274" s="28">
        <f t="shared" si="13"/>
        <v>135</v>
      </c>
    </row>
    <row r="275" spans="1:8" hidden="1" x14ac:dyDescent="0.3">
      <c r="A275" s="23" t="s">
        <v>119</v>
      </c>
      <c r="B275" s="12" cm="1">
        <f t="array" ref="B275">_xlfn.XLOOKUP(1,('Cleaned Data 2020 - 2024'!$B:$B=Calculations!A275)*('Cleaned Data 2020 - 2024'!$K:$K=$B$173),'Cleaned Data 2020 - 2024'!$D:$D)</f>
        <v>488860</v>
      </c>
      <c r="C275" s="12" cm="1">
        <f t="array" ref="C275">_xlfn.XLOOKUP(1,('Cleaned Data 2020 - 2024'!B:B=A275)*('Cleaned Data 2020 - 2024'!K:K=$C$173),'Cleaned Data 2020 - 2024'!D:D)</f>
        <v>503000</v>
      </c>
      <c r="D275" s="12" cm="1">
        <f t="array" ref="D275">_xlfn.XLOOKUP(1,('Cleaned Data 2020 - 2024'!$B:$B=$A275)*('Cleaned Data 2020 - 2024'!$K:$K=$D$173),'Cleaned Data 2020 - 2024'!$D:$D)</f>
        <v>514030</v>
      </c>
      <c r="E275" s="12" cm="1">
        <f t="array" ref="E275">_xlfn.XLOOKUP(1,('Cleaned Data 2020 - 2024'!$B:$B=A275)*('Cleaned Data 2020 - 2024'!$K:$K=$E$173),'Cleaned Data 2020 - 2024'!$D:$D)</f>
        <v>511070</v>
      </c>
      <c r="F275" s="12" cm="1">
        <f t="array" ref="F275">_xlfn.XLOOKUP(1,('Cleaned Data 2020 - 2024'!$B:$B=A275)*('Cleaned Data 2020 - 2024'!$K:$K=$F$173),'Cleaned Data 2020 - 2024'!$D:$D)</f>
        <v>513890</v>
      </c>
      <c r="G275" s="27">
        <f t="shared" si="12"/>
        <v>25030</v>
      </c>
      <c r="H275" s="28">
        <f t="shared" si="13"/>
        <v>32</v>
      </c>
    </row>
    <row r="276" spans="1:8" hidden="1" x14ac:dyDescent="0.3">
      <c r="A276" s="23" t="s">
        <v>115</v>
      </c>
      <c r="B276" s="12" cm="1">
        <f t="array" ref="B276">_xlfn.XLOOKUP(1,('Cleaned Data 2020 - 2024'!$B:$B=Calculations!A276)*('Cleaned Data 2020 - 2024'!$K:$K=$B$173),'Cleaned Data 2020 - 2024'!$D:$D)</f>
        <v>488270</v>
      </c>
      <c r="C276" s="12" cm="1">
        <f t="array" ref="C276">_xlfn.XLOOKUP(1,('Cleaned Data 2020 - 2024'!B:B=A276)*('Cleaned Data 2020 - 2024'!K:K=$C$173),'Cleaned Data 2020 - 2024'!D:D)</f>
        <v>511740</v>
      </c>
      <c r="D276" s="12" cm="1">
        <f t="array" ref="D276">_xlfn.XLOOKUP(1,('Cleaned Data 2020 - 2024'!$B:$B=$A276)*('Cleaned Data 2020 - 2024'!$K:$K=$D$173),'Cleaned Data 2020 - 2024'!$D:$D)</f>
        <v>519880</v>
      </c>
      <c r="E276" s="12" cm="1">
        <f t="array" ref="E276">_xlfn.XLOOKUP(1,('Cleaned Data 2020 - 2024'!$B:$B=A276)*('Cleaned Data 2020 - 2024'!$K:$K=$E$173),'Cleaned Data 2020 - 2024'!$D:$D)</f>
        <v>527730</v>
      </c>
      <c r="F276" s="12" cm="1">
        <f t="array" ref="F276">_xlfn.XLOOKUP(1,('Cleaned Data 2020 - 2024'!$B:$B=A276)*('Cleaned Data 2020 - 2024'!$K:$K=$F$173),'Cleaned Data 2020 - 2024'!$D:$D)</f>
        <v>530420</v>
      </c>
      <c r="G276" s="27">
        <f t="shared" si="12"/>
        <v>42150</v>
      </c>
      <c r="H276" s="28">
        <f t="shared" si="13"/>
        <v>15</v>
      </c>
    </row>
    <row r="277" spans="1:8" hidden="1" x14ac:dyDescent="0.3">
      <c r="A277" s="23" t="s">
        <v>165</v>
      </c>
      <c r="B277" s="12" cm="1">
        <f t="array" ref="B277">_xlfn.XLOOKUP(1,('Cleaned Data 2020 - 2024'!$B:$B=Calculations!A277)*('Cleaned Data 2020 - 2024'!$K:$K=$B$173),'Cleaned Data 2020 - 2024'!$D:$D)</f>
        <v>484840</v>
      </c>
      <c r="C277" s="12" cm="1">
        <f t="array" ref="C277">_xlfn.XLOOKUP(1,('Cleaned Data 2020 - 2024'!B:B=A277)*('Cleaned Data 2020 - 2024'!K:K=$C$173),'Cleaned Data 2020 - 2024'!D:D)</f>
        <v>483040</v>
      </c>
      <c r="D277" s="12" cm="1">
        <f t="array" ref="D277">_xlfn.XLOOKUP(1,('Cleaned Data 2020 - 2024'!$B:$B=$A277)*('Cleaned Data 2020 - 2024'!$K:$K=$D$173),'Cleaned Data 2020 - 2024'!$D:$D)</f>
        <v>464030</v>
      </c>
      <c r="E277" s="12" cm="1">
        <f t="array" ref="E277">_xlfn.XLOOKUP(1,('Cleaned Data 2020 - 2024'!$B:$B=A277)*('Cleaned Data 2020 - 2024'!$K:$K=$E$173),'Cleaned Data 2020 - 2024'!$D:$D)</f>
        <v>439350</v>
      </c>
      <c r="F277" s="12" cm="1">
        <f t="array" ref="F277">_xlfn.XLOOKUP(1,('Cleaned Data 2020 - 2024'!$B:$B=A277)*('Cleaned Data 2020 - 2024'!$K:$K=$F$173),'Cleaned Data 2020 - 2024'!$D:$D)</f>
        <v>434070</v>
      </c>
      <c r="G277" s="27">
        <f t="shared" si="12"/>
        <v>-50770</v>
      </c>
      <c r="H277" s="28">
        <f t="shared" si="13"/>
        <v>146</v>
      </c>
    </row>
    <row r="278" spans="1:8" hidden="1" x14ac:dyDescent="0.3">
      <c r="A278" s="23" t="s">
        <v>129</v>
      </c>
      <c r="B278" s="12" cm="1">
        <f t="array" ref="B278">_xlfn.XLOOKUP(1,('Cleaned Data 2020 - 2024'!$B:$B=Calculations!A278)*('Cleaned Data 2020 - 2024'!$K:$K=$B$173),'Cleaned Data 2020 - 2024'!$D:$D)</f>
        <v>483280</v>
      </c>
      <c r="C278" s="12" cm="1">
        <f t="array" ref="C278">_xlfn.XLOOKUP(1,('Cleaned Data 2020 - 2024'!B:B=A278)*('Cleaned Data 2020 - 2024'!K:K=$C$173),'Cleaned Data 2020 - 2024'!D:D)</f>
        <v>502460</v>
      </c>
      <c r="D278" s="12" cm="1">
        <f t="array" ref="D278">_xlfn.XLOOKUP(1,('Cleaned Data 2020 - 2024'!$B:$B=$A278)*('Cleaned Data 2020 - 2024'!$K:$K=$D$173),'Cleaned Data 2020 - 2024'!$D:$D)</f>
        <v>515550</v>
      </c>
      <c r="E278" s="12" cm="1">
        <f t="array" ref="E278">_xlfn.XLOOKUP(1,('Cleaned Data 2020 - 2024'!$B:$B=A278)*('Cleaned Data 2020 - 2024'!$K:$K=$E$173),'Cleaned Data 2020 - 2024'!$D:$D)</f>
        <v>428210</v>
      </c>
      <c r="F278" s="12" cm="1">
        <f t="array" ref="F278">_xlfn.XLOOKUP(1,('Cleaned Data 2020 - 2024'!$B:$B=A278)*('Cleaned Data 2020 - 2024'!$K:$K=$F$173),'Cleaned Data 2020 - 2024'!$D:$D)</f>
        <v>388590</v>
      </c>
      <c r="G278" s="27">
        <f t="shared" si="12"/>
        <v>-94690</v>
      </c>
      <c r="H278" s="28">
        <f t="shared" si="13"/>
        <v>153</v>
      </c>
    </row>
    <row r="279" spans="1:8" hidden="1" x14ac:dyDescent="0.3">
      <c r="A279" s="23" t="s">
        <v>163</v>
      </c>
      <c r="B279" s="12" cm="1">
        <f t="array" ref="B279">_xlfn.XLOOKUP(1,('Cleaned Data 2020 - 2024'!$B:$B=Calculations!A279)*('Cleaned Data 2020 - 2024'!$K:$K=$B$173),'Cleaned Data 2020 - 2024'!$D:$D)</f>
        <v>482930</v>
      </c>
      <c r="C279" s="12" cm="1">
        <f t="array" ref="C279">_xlfn.XLOOKUP(1,('Cleaned Data 2020 - 2024'!B:B=A279)*('Cleaned Data 2020 - 2024'!K:K=$C$173),'Cleaned Data 2020 - 2024'!D:D)</f>
        <v>485180</v>
      </c>
      <c r="D279" s="12" cm="1">
        <f t="array" ref="D279">_xlfn.XLOOKUP(1,('Cleaned Data 2020 - 2024'!$B:$B=$A279)*('Cleaned Data 2020 - 2024'!$K:$K=$D$173),'Cleaned Data 2020 - 2024'!$D:$D)</f>
        <v>495830</v>
      </c>
      <c r="E279" s="12" cm="1">
        <f t="array" ref="E279">_xlfn.XLOOKUP(1,('Cleaned Data 2020 - 2024'!$B:$B=A279)*('Cleaned Data 2020 - 2024'!$K:$K=$E$173),'Cleaned Data 2020 - 2024'!$D:$D)</f>
        <v>503470</v>
      </c>
      <c r="F279" s="12" cm="1">
        <f t="array" ref="F279">_xlfn.XLOOKUP(1,('Cleaned Data 2020 - 2024'!$B:$B=A279)*('Cleaned Data 2020 - 2024'!$K:$K=$F$173),'Cleaned Data 2020 - 2024'!$D:$D)</f>
        <v>510630</v>
      </c>
      <c r="G279" s="27">
        <f t="shared" si="12"/>
        <v>27700</v>
      </c>
      <c r="H279" s="28">
        <f t="shared" si="13"/>
        <v>28</v>
      </c>
    </row>
    <row r="280" spans="1:8" x14ac:dyDescent="0.3">
      <c r="A280" s="23" t="s">
        <v>133</v>
      </c>
      <c r="B280" s="12" cm="1">
        <f t="array" ref="B280">_xlfn.XLOOKUP(1,('Cleaned Data 2020 - 2024'!$B:$B=Calculations!A280)*('Cleaned Data 2020 - 2024'!$K:$K=$B$173),'Cleaned Data 2020 - 2024'!$D:$D)</f>
        <v>481410</v>
      </c>
      <c r="C280" s="12" cm="1">
        <f t="array" ref="C280">_xlfn.XLOOKUP(1,('Cleaned Data 2020 - 2024'!B:B=A280)*('Cleaned Data 2020 - 2024'!K:K=$C$173),'Cleaned Data 2020 - 2024'!D:D)</f>
        <v>495640</v>
      </c>
      <c r="D280" s="12" cm="1">
        <f t="array" ref="D280">_xlfn.XLOOKUP(1,('Cleaned Data 2020 - 2024'!$B:$B=$A280)*('Cleaned Data 2020 - 2024'!$K:$K=$D$173),'Cleaned Data 2020 - 2024'!$D:$D)</f>
        <v>519390</v>
      </c>
      <c r="E280" s="12" cm="1">
        <f t="array" ref="E280">_xlfn.XLOOKUP(1,('Cleaned Data 2020 - 2024'!$B:$B=A280)*('Cleaned Data 2020 - 2024'!$K:$K=$E$173),'Cleaned Data 2020 - 2024'!$D:$D)</f>
        <v>527460</v>
      </c>
      <c r="F280" s="12" cm="1">
        <f t="array" ref="F280">_xlfn.XLOOKUP(1,('Cleaned Data 2020 - 2024'!$B:$B=A280)*('Cleaned Data 2020 - 2024'!$K:$K=$F$173),'Cleaned Data 2020 - 2024'!$D:$D)</f>
        <v>542200</v>
      </c>
      <c r="G280" s="27">
        <f t="shared" si="12"/>
        <v>60790</v>
      </c>
      <c r="H280" s="28">
        <f t="shared" si="13"/>
        <v>6</v>
      </c>
    </row>
    <row r="281" spans="1:8" hidden="1" x14ac:dyDescent="0.3">
      <c r="A281" s="23" t="s">
        <v>132</v>
      </c>
      <c r="B281" s="12" cm="1">
        <f t="array" ref="B281">_xlfn.XLOOKUP(1,('Cleaned Data 2020 - 2024'!$B:$B=Calculations!A281)*('Cleaned Data 2020 - 2024'!$K:$K=$B$173),'Cleaned Data 2020 - 2024'!$D:$D)</f>
        <v>478480</v>
      </c>
      <c r="C281" s="12" cm="1">
        <f t="array" ref="C281">_xlfn.XLOOKUP(1,('Cleaned Data 2020 - 2024'!B:B=A281)*('Cleaned Data 2020 - 2024'!K:K=$C$173),'Cleaned Data 2020 - 2024'!D:D)</f>
        <v>485410</v>
      </c>
      <c r="D281" s="12" cm="1">
        <f t="array" ref="D281">_xlfn.XLOOKUP(1,('Cleaned Data 2020 - 2024'!$B:$B=$A281)*('Cleaned Data 2020 - 2024'!$K:$K=$D$173),'Cleaned Data 2020 - 2024'!$D:$D)</f>
        <v>494090</v>
      </c>
      <c r="E281" s="12" cm="1">
        <f t="array" ref="E281">_xlfn.XLOOKUP(1,('Cleaned Data 2020 - 2024'!$B:$B=A281)*('Cleaned Data 2020 - 2024'!$K:$K=$E$173),'Cleaned Data 2020 - 2024'!$D:$D)</f>
        <v>494090</v>
      </c>
      <c r="F281" s="12" cm="1">
        <f t="array" ref="F281">_xlfn.XLOOKUP(1,('Cleaned Data 2020 - 2024'!$B:$B=A281)*('Cleaned Data 2020 - 2024'!$K:$K=$F$173),'Cleaned Data 2020 - 2024'!$D:$D)</f>
        <v>516600</v>
      </c>
      <c r="G281" s="27">
        <f t="shared" si="12"/>
        <v>38120</v>
      </c>
      <c r="H281" s="28">
        <f t="shared" si="13"/>
        <v>17</v>
      </c>
    </row>
    <row r="282" spans="1:8" hidden="1" x14ac:dyDescent="0.3">
      <c r="A282" s="23" t="s">
        <v>123</v>
      </c>
      <c r="B282" s="12" cm="1">
        <f t="array" ref="B282">_xlfn.XLOOKUP(1,('Cleaned Data 2020 - 2024'!$B:$B=Calculations!A282)*('Cleaned Data 2020 - 2024'!$K:$K=$B$173),'Cleaned Data 2020 - 2024'!$D:$D)</f>
        <v>477150</v>
      </c>
      <c r="C282" s="12" cm="1">
        <f t="array" ref="C282">_xlfn.XLOOKUP(1,('Cleaned Data 2020 - 2024'!B:B=A282)*('Cleaned Data 2020 - 2024'!K:K=$C$173),'Cleaned Data 2020 - 2024'!D:D)</f>
        <v>458380</v>
      </c>
      <c r="D282" s="12" cm="1">
        <f t="array" ref="D282">_xlfn.XLOOKUP(1,('Cleaned Data 2020 - 2024'!$B:$B=$A282)*('Cleaned Data 2020 - 2024'!$K:$K=$D$173),'Cleaned Data 2020 - 2024'!$D:$D)</f>
        <v>295530</v>
      </c>
      <c r="E282" s="12" cm="1">
        <f t="array" ref="E282">_xlfn.XLOOKUP(1,('Cleaned Data 2020 - 2024'!$B:$B=A282)*('Cleaned Data 2020 - 2024'!$K:$K=$E$173),'Cleaned Data 2020 - 2024'!$D:$D)</f>
        <v>239220</v>
      </c>
      <c r="F282" s="12" cm="1">
        <f t="array" ref="F282">_xlfn.XLOOKUP(1,('Cleaned Data 2020 - 2024'!$B:$B=A282)*('Cleaned Data 2020 - 2024'!$K:$K=$F$173),'Cleaned Data 2020 - 2024'!$D:$D)</f>
        <v>270650</v>
      </c>
      <c r="G282" s="27">
        <f t="shared" si="12"/>
        <v>-206500</v>
      </c>
      <c r="H282" s="28">
        <f t="shared" si="13"/>
        <v>156</v>
      </c>
    </row>
    <row r="283" spans="1:8" hidden="1" x14ac:dyDescent="0.3">
      <c r="A283" s="23" t="s">
        <v>172</v>
      </c>
      <c r="B283" s="12" cm="1">
        <f t="array" ref="B283">_xlfn.XLOOKUP(1,('Cleaned Data 2020 - 2024'!$B:$B=Calculations!A283)*('Cleaned Data 2020 - 2024'!$K:$K=$B$173),'Cleaned Data 2020 - 2024'!$D:$D)</f>
        <v>476870</v>
      </c>
      <c r="C283" s="12" cm="1">
        <f t="array" ref="C283">_xlfn.XLOOKUP(1,('Cleaned Data 2020 - 2024'!B:B=A283)*('Cleaned Data 2020 - 2024'!K:K=$C$173),'Cleaned Data 2020 - 2024'!D:D)</f>
        <v>483380</v>
      </c>
      <c r="D283" s="12" cm="1">
        <f t="array" ref="D283">_xlfn.XLOOKUP(1,('Cleaned Data 2020 - 2024'!$B:$B=$A283)*('Cleaned Data 2020 - 2024'!$K:$K=$D$173),'Cleaned Data 2020 - 2024'!$D:$D)</f>
        <v>467050</v>
      </c>
      <c r="E283" s="12" cm="1">
        <f t="array" ref="E283">_xlfn.XLOOKUP(1,('Cleaned Data 2020 - 2024'!$B:$B=A283)*('Cleaned Data 2020 - 2024'!$K:$K=$E$173),'Cleaned Data 2020 - 2024'!$D:$D)</f>
        <v>463760</v>
      </c>
      <c r="F283" s="12" cm="1">
        <f t="array" ref="F283">_xlfn.XLOOKUP(1,('Cleaned Data 2020 - 2024'!$B:$B=A283)*('Cleaned Data 2020 - 2024'!$K:$K=$F$173),'Cleaned Data 2020 - 2024'!$D:$D)</f>
        <v>454800</v>
      </c>
      <c r="G283" s="27">
        <f t="shared" si="12"/>
        <v>-22070</v>
      </c>
      <c r="H283" s="28">
        <f t="shared" si="13"/>
        <v>124</v>
      </c>
    </row>
    <row r="284" spans="1:8" hidden="1" x14ac:dyDescent="0.3">
      <c r="A284" s="23" t="s">
        <v>189</v>
      </c>
      <c r="B284" s="12" cm="1">
        <f t="array" ref="B284">_xlfn.XLOOKUP(1,('Cleaned Data 2020 - 2024'!$B:$B=Calculations!A284)*('Cleaned Data 2020 - 2024'!$K:$K=$B$173),'Cleaned Data 2020 - 2024'!$D:$D)</f>
        <v>475060</v>
      </c>
      <c r="C284" s="12" cm="1">
        <f t="array" ref="C284">_xlfn.XLOOKUP(1,('Cleaned Data 2020 - 2024'!B:B=A284)*('Cleaned Data 2020 - 2024'!K:K=$C$173),'Cleaned Data 2020 - 2024'!D:D)</f>
        <v>505100</v>
      </c>
      <c r="D284" s="12" cm="1">
        <f t="array" ref="D284">_xlfn.XLOOKUP(1,('Cleaned Data 2020 - 2024'!$B:$B=$A284)*('Cleaned Data 2020 - 2024'!$K:$K=$D$173),'Cleaned Data 2020 - 2024'!$D:$D)</f>
        <v>516360</v>
      </c>
      <c r="E284" s="12" cm="1">
        <f t="array" ref="E284">_xlfn.XLOOKUP(1,('Cleaned Data 2020 - 2024'!$B:$B=A284)*('Cleaned Data 2020 - 2024'!$K:$K=$E$173),'Cleaned Data 2020 - 2024'!$D:$D)</f>
        <v>427940</v>
      </c>
      <c r="F284" s="12" cm="1">
        <f t="array" ref="F284">_xlfn.XLOOKUP(1,('Cleaned Data 2020 - 2024'!$B:$B=A284)*('Cleaned Data 2020 - 2024'!$K:$K=$F$173),'Cleaned Data 2020 - 2024'!$D:$D)</f>
        <v>448490</v>
      </c>
      <c r="G284" s="27">
        <f t="shared" si="12"/>
        <v>-26570</v>
      </c>
      <c r="H284" s="28">
        <f t="shared" si="13"/>
        <v>127</v>
      </c>
    </row>
    <row r="285" spans="1:8" hidden="1" x14ac:dyDescent="0.3">
      <c r="A285" s="23" t="s">
        <v>158</v>
      </c>
      <c r="B285" s="12" cm="1">
        <f t="array" ref="B285">_xlfn.XLOOKUP(1,('Cleaned Data 2020 - 2024'!$B:$B=Calculations!A285)*('Cleaned Data 2020 - 2024'!$K:$K=$B$173),'Cleaned Data 2020 - 2024'!$D:$D)</f>
        <v>472930</v>
      </c>
      <c r="C285" s="12" cm="1">
        <f t="array" ref="C285">_xlfn.XLOOKUP(1,('Cleaned Data 2020 - 2024'!B:B=A285)*('Cleaned Data 2020 - 2024'!K:K=$C$173),'Cleaned Data 2020 - 2024'!D:D)</f>
        <v>472350</v>
      </c>
      <c r="D285" s="12" cm="1">
        <f t="array" ref="D285">_xlfn.XLOOKUP(1,('Cleaned Data 2020 - 2024'!$B:$B=$A285)*('Cleaned Data 2020 - 2024'!$K:$K=$D$173),'Cleaned Data 2020 - 2024'!$D:$D)</f>
        <v>447900</v>
      </c>
      <c r="E285" s="12" cm="1">
        <f t="array" ref="E285">_xlfn.XLOOKUP(1,('Cleaned Data 2020 - 2024'!$B:$B=A285)*('Cleaned Data 2020 - 2024'!$K:$K=$E$173),'Cleaned Data 2020 - 2024'!$D:$D)</f>
        <v>419780</v>
      </c>
      <c r="F285" s="12" cm="1">
        <f t="array" ref="F285">_xlfn.XLOOKUP(1,('Cleaned Data 2020 - 2024'!$B:$B=A285)*('Cleaned Data 2020 - 2024'!$K:$K=$F$173),'Cleaned Data 2020 - 2024'!$D:$D)</f>
        <v>423200</v>
      </c>
      <c r="G285" s="27">
        <f t="shared" si="12"/>
        <v>-49730</v>
      </c>
      <c r="H285" s="28">
        <f t="shared" si="13"/>
        <v>144</v>
      </c>
    </row>
    <row r="286" spans="1:8" hidden="1" x14ac:dyDescent="0.3">
      <c r="A286" s="23" t="s">
        <v>97</v>
      </c>
      <c r="B286" s="12" cm="1">
        <f t="array" ref="B286">_xlfn.XLOOKUP(1,('Cleaned Data 2020 - 2024'!$B:$B=Calculations!A286)*('Cleaned Data 2020 - 2024'!$K:$K=$B$173),'Cleaned Data 2020 - 2024'!$D:$D)</f>
        <v>472410</v>
      </c>
      <c r="C286" s="12" cm="1">
        <f t="array" ref="C286">_xlfn.XLOOKUP(1,('Cleaned Data 2020 - 2024'!B:B=A286)*('Cleaned Data 2020 - 2024'!K:K=$C$173),'Cleaned Data 2020 - 2024'!D:D)</f>
        <v>475930</v>
      </c>
      <c r="D286" s="12" cm="1">
        <f t="array" ref="D286">_xlfn.XLOOKUP(1,('Cleaned Data 2020 - 2024'!$B:$B=$A286)*('Cleaned Data 2020 - 2024'!$K:$K=$D$173),'Cleaned Data 2020 - 2024'!$D:$D)</f>
        <v>455200</v>
      </c>
      <c r="E286" s="12" cm="1">
        <f t="array" ref="E286">_xlfn.XLOOKUP(1,('Cleaned Data 2020 - 2024'!$B:$B=A286)*('Cleaned Data 2020 - 2024'!$K:$K=$E$173),'Cleaned Data 2020 - 2024'!$D:$D)</f>
        <v>498060</v>
      </c>
      <c r="F286" s="12" cm="1">
        <f t="array" ref="F286">_xlfn.XLOOKUP(1,('Cleaned Data 2020 - 2024'!$B:$B=A286)*('Cleaned Data 2020 - 2024'!$K:$K=$F$173),'Cleaned Data 2020 - 2024'!$D:$D)</f>
        <v>488080</v>
      </c>
      <c r="G286" s="27">
        <f t="shared" si="12"/>
        <v>15670</v>
      </c>
      <c r="H286" s="28">
        <f t="shared" si="13"/>
        <v>49</v>
      </c>
    </row>
    <row r="287" spans="1:8" x14ac:dyDescent="0.3">
      <c r="A287" s="23" t="s">
        <v>147</v>
      </c>
      <c r="B287" s="12" cm="1">
        <f t="array" ref="B287">_xlfn.XLOOKUP(1,('Cleaned Data 2020 - 2024'!$B:$B=Calculations!A287)*('Cleaned Data 2020 - 2024'!$K:$K=$B$173),'Cleaned Data 2020 - 2024'!$D:$D)</f>
        <v>467680</v>
      </c>
      <c r="C287" s="12" cm="1">
        <f t="array" ref="C287">_xlfn.XLOOKUP(1,('Cleaned Data 2020 - 2024'!B:B=A287)*('Cleaned Data 2020 - 2024'!K:K=$C$173),'Cleaned Data 2020 - 2024'!D:D)</f>
        <v>528260</v>
      </c>
      <c r="D287" s="12" cm="1">
        <f t="array" ref="D287">_xlfn.XLOOKUP(1,('Cleaned Data 2020 - 2024'!$B:$B=$A287)*('Cleaned Data 2020 - 2024'!$K:$K=$D$173),'Cleaned Data 2020 - 2024'!$D:$D)</f>
        <v>539860</v>
      </c>
      <c r="E287" s="12" cm="1">
        <f t="array" ref="E287">_xlfn.XLOOKUP(1,('Cleaned Data 2020 - 2024'!$B:$B=A287)*('Cleaned Data 2020 - 2024'!$K:$K=$E$173),'Cleaned Data 2020 - 2024'!$D:$D)</f>
        <v>534170</v>
      </c>
      <c r="F287" s="12" cm="1">
        <f t="array" ref="F287">_xlfn.XLOOKUP(1,('Cleaned Data 2020 - 2024'!$B:$B=A287)*('Cleaned Data 2020 - 2024'!$K:$K=$F$173),'Cleaned Data 2020 - 2024'!$D:$D)</f>
        <v>545490</v>
      </c>
      <c r="G287" s="27">
        <f t="shared" si="12"/>
        <v>77810</v>
      </c>
      <c r="H287" s="28">
        <f t="shared" si="13"/>
        <v>3</v>
      </c>
    </row>
    <row r="288" spans="1:8" hidden="1" x14ac:dyDescent="0.3">
      <c r="A288" s="23" t="s">
        <v>150</v>
      </c>
      <c r="B288" s="12" cm="1">
        <f t="array" ref="B288">_xlfn.XLOOKUP(1,('Cleaned Data 2020 - 2024'!$B:$B=Calculations!A288)*('Cleaned Data 2020 - 2024'!$K:$K=$B$173),'Cleaned Data 2020 - 2024'!$D:$D)</f>
        <v>467260</v>
      </c>
      <c r="C288" s="12" cm="1">
        <f t="array" ref="C288">_xlfn.XLOOKUP(1,('Cleaned Data 2020 - 2024'!B:B=A288)*('Cleaned Data 2020 - 2024'!K:K=$C$173),'Cleaned Data 2020 - 2024'!D:D)</f>
        <v>489140</v>
      </c>
      <c r="D288" s="12" cm="1">
        <f t="array" ref="D288">_xlfn.XLOOKUP(1,('Cleaned Data 2020 - 2024'!$B:$B=$A288)*('Cleaned Data 2020 - 2024'!$K:$K=$D$173),'Cleaned Data 2020 - 2024'!$D:$D)</f>
        <v>497320</v>
      </c>
      <c r="E288" s="12" cm="1">
        <f t="array" ref="E288">_xlfn.XLOOKUP(1,('Cleaned Data 2020 - 2024'!$B:$B=A288)*('Cleaned Data 2020 - 2024'!$K:$K=$E$173),'Cleaned Data 2020 - 2024'!$D:$D)</f>
        <v>510910</v>
      </c>
      <c r="F288" s="12" cm="1">
        <f t="array" ref="F288">_xlfn.XLOOKUP(1,('Cleaned Data 2020 - 2024'!$B:$B=A288)*('Cleaned Data 2020 - 2024'!$K:$K=$F$173),'Cleaned Data 2020 - 2024'!$D:$D)</f>
        <v>518470</v>
      </c>
      <c r="G288" s="27">
        <f t="shared" si="12"/>
        <v>51210</v>
      </c>
      <c r="H288" s="28">
        <f t="shared" si="13"/>
        <v>11</v>
      </c>
    </row>
    <row r="289" spans="1:8" hidden="1" x14ac:dyDescent="0.3">
      <c r="A289" s="23" t="s">
        <v>130</v>
      </c>
      <c r="B289" s="12" cm="1">
        <f t="array" ref="B289">_xlfn.XLOOKUP(1,('Cleaned Data 2020 - 2024'!$B:$B=Calculations!A289)*('Cleaned Data 2020 - 2024'!$K:$K=$B$173),'Cleaned Data 2020 - 2024'!$D:$D)</f>
        <v>467240</v>
      </c>
      <c r="C289" s="12" cm="1">
        <f t="array" ref="C289">_xlfn.XLOOKUP(1,('Cleaned Data 2020 - 2024'!B:B=A289)*('Cleaned Data 2020 - 2024'!K:K=$C$173),'Cleaned Data 2020 - 2024'!D:D)</f>
        <v>472120</v>
      </c>
      <c r="D289" s="12" cm="1">
        <f t="array" ref="D289">_xlfn.XLOOKUP(1,('Cleaned Data 2020 - 2024'!$B:$B=$A289)*('Cleaned Data 2020 - 2024'!$K:$K=$D$173),'Cleaned Data 2020 - 2024'!$D:$D)</f>
        <v>488790</v>
      </c>
      <c r="E289" s="12" cm="1">
        <f t="array" ref="E289">_xlfn.XLOOKUP(1,('Cleaned Data 2020 - 2024'!$B:$B=A289)*('Cleaned Data 2020 - 2024'!$K:$K=$E$173),'Cleaned Data 2020 - 2024'!$D:$D)</f>
        <v>487630</v>
      </c>
      <c r="F289" s="12" cm="1">
        <f t="array" ref="F289">_xlfn.XLOOKUP(1,('Cleaned Data 2020 - 2024'!$B:$B=A289)*('Cleaned Data 2020 - 2024'!$K:$K=$F$173),'Cleaned Data 2020 - 2024'!$D:$D)</f>
        <v>492280</v>
      </c>
      <c r="G289" s="27">
        <f t="shared" si="12"/>
        <v>25040</v>
      </c>
      <c r="H289" s="28">
        <f t="shared" si="13"/>
        <v>31</v>
      </c>
    </row>
    <row r="290" spans="1:8" hidden="1" x14ac:dyDescent="0.3">
      <c r="A290" s="23" t="s">
        <v>103</v>
      </c>
      <c r="B290" s="12" cm="1">
        <f t="array" ref="B290">_xlfn.XLOOKUP(1,('Cleaned Data 2020 - 2024'!$B:$B=Calculations!A290)*('Cleaned Data 2020 - 2024'!$K:$K=$B$173),'Cleaned Data 2020 - 2024'!$D:$D)</f>
        <v>463340</v>
      </c>
      <c r="C290" s="12" cm="1">
        <f t="array" ref="C290">_xlfn.XLOOKUP(1,('Cleaned Data 2020 - 2024'!B:B=A290)*('Cleaned Data 2020 - 2024'!K:K=$C$173),'Cleaned Data 2020 - 2024'!D:D)</f>
        <v>439460</v>
      </c>
      <c r="D290" s="12" cm="1">
        <f t="array" ref="D290">_xlfn.XLOOKUP(1,('Cleaned Data 2020 - 2024'!$B:$B=$A290)*('Cleaned Data 2020 - 2024'!$K:$K=$D$173),'Cleaned Data 2020 - 2024'!$D:$D)</f>
        <v>415210</v>
      </c>
      <c r="E290" s="12" cm="1">
        <f t="array" ref="E290">_xlfn.XLOOKUP(1,('Cleaned Data 2020 - 2024'!$B:$B=A290)*('Cleaned Data 2020 - 2024'!$K:$K=$E$173),'Cleaned Data 2020 - 2024'!$D:$D)</f>
        <v>411980</v>
      </c>
      <c r="F290" s="12" cm="1">
        <f t="array" ref="F290">_xlfn.XLOOKUP(1,('Cleaned Data 2020 - 2024'!$B:$B=A290)*('Cleaned Data 2020 - 2024'!$K:$K=$F$173),'Cleaned Data 2020 - 2024'!$D:$D)</f>
        <v>418580</v>
      </c>
      <c r="G290" s="27">
        <f t="shared" si="12"/>
        <v>-44760</v>
      </c>
      <c r="H290" s="28">
        <f t="shared" si="13"/>
        <v>141</v>
      </c>
    </row>
    <row r="291" spans="1:8" x14ac:dyDescent="0.3">
      <c r="A291" s="23" t="s">
        <v>114</v>
      </c>
      <c r="B291" s="12" cm="1">
        <f t="array" ref="B291">_xlfn.XLOOKUP(1,('Cleaned Data 2020 - 2024'!$B:$B=Calculations!A291)*('Cleaned Data 2020 - 2024'!$K:$K=$B$173),'Cleaned Data 2020 - 2024'!$D:$D)</f>
        <v>462360</v>
      </c>
      <c r="C291" s="12" cm="1">
        <f t="array" ref="C291">_xlfn.XLOOKUP(1,('Cleaned Data 2020 - 2024'!B:B=A291)*('Cleaned Data 2020 - 2024'!K:K=$C$173),'Cleaned Data 2020 - 2024'!D:D)</f>
        <v>479450</v>
      </c>
      <c r="D291" s="12" cm="1">
        <f t="array" ref="D291">_xlfn.XLOOKUP(1,('Cleaned Data 2020 - 2024'!$B:$B=$A291)*('Cleaned Data 2020 - 2024'!$K:$K=$D$173),'Cleaned Data 2020 - 2024'!$D:$D)</f>
        <v>504830</v>
      </c>
      <c r="E291" s="12" cm="1">
        <f t="array" ref="E291">_xlfn.XLOOKUP(1,('Cleaned Data 2020 - 2024'!$B:$B=A291)*('Cleaned Data 2020 - 2024'!$K:$K=$E$173),'Cleaned Data 2020 - 2024'!$D:$D)</f>
        <v>495400</v>
      </c>
      <c r="F291" s="12" cm="1">
        <f t="array" ref="F291">_xlfn.XLOOKUP(1,('Cleaned Data 2020 - 2024'!$B:$B=A291)*('Cleaned Data 2020 - 2024'!$K:$K=$F$173),'Cleaned Data 2020 - 2024'!$D:$D)</f>
        <v>521640</v>
      </c>
      <c r="G291" s="27">
        <f t="shared" si="12"/>
        <v>59280</v>
      </c>
      <c r="H291" s="28">
        <f t="shared" si="13"/>
        <v>8</v>
      </c>
    </row>
    <row r="292" spans="1:8" hidden="1" x14ac:dyDescent="0.3">
      <c r="A292" s="23" t="s">
        <v>145</v>
      </c>
      <c r="B292" s="12" cm="1">
        <f t="array" ref="B292">_xlfn.XLOOKUP(1,('Cleaned Data 2020 - 2024'!$B:$B=Calculations!A292)*('Cleaned Data 2020 - 2024'!$K:$K=$B$173),'Cleaned Data 2020 - 2024'!$D:$D)</f>
        <v>458300</v>
      </c>
      <c r="C292" s="12" cm="1">
        <f t="array" ref="C292">_xlfn.XLOOKUP(1,('Cleaned Data 2020 - 2024'!B:B=A292)*('Cleaned Data 2020 - 2024'!K:K=$C$173),'Cleaned Data 2020 - 2024'!D:D)</f>
        <v>460660</v>
      </c>
      <c r="D292" s="12" cm="1">
        <f t="array" ref="D292">_xlfn.XLOOKUP(1,('Cleaned Data 2020 - 2024'!$B:$B=$A292)*('Cleaned Data 2020 - 2024'!$K:$K=$D$173),'Cleaned Data 2020 - 2024'!$D:$D)</f>
        <v>454300</v>
      </c>
      <c r="E292" s="12" cm="1">
        <f t="array" ref="E292">_xlfn.XLOOKUP(1,('Cleaned Data 2020 - 2024'!$B:$B=A292)*('Cleaned Data 2020 - 2024'!$K:$K=$E$173),'Cleaned Data 2020 - 2024'!$D:$D)</f>
        <v>448660</v>
      </c>
      <c r="F292" s="12" cm="1">
        <f t="array" ref="F292">_xlfn.XLOOKUP(1,('Cleaned Data 2020 - 2024'!$B:$B=A292)*('Cleaned Data 2020 - 2024'!$K:$K=$F$173),'Cleaned Data 2020 - 2024'!$D:$D)</f>
        <v>446960</v>
      </c>
      <c r="G292" s="27">
        <f t="shared" si="12"/>
        <v>-11340</v>
      </c>
      <c r="H292" s="28">
        <f t="shared" si="13"/>
        <v>109</v>
      </c>
    </row>
    <row r="293" spans="1:8" hidden="1" x14ac:dyDescent="0.3">
      <c r="A293" s="23" t="s">
        <v>181</v>
      </c>
      <c r="B293" s="12" cm="1">
        <f t="array" ref="B293">_xlfn.XLOOKUP(1,('Cleaned Data 2020 - 2024'!$B:$B=Calculations!A293)*('Cleaned Data 2020 - 2024'!$K:$K=$B$173),'Cleaned Data 2020 - 2024'!$D:$D)</f>
        <v>457110</v>
      </c>
      <c r="C293" s="12" cm="1">
        <f t="array" ref="C293">_xlfn.XLOOKUP(1,('Cleaned Data 2020 - 2024'!B:B=A293)*('Cleaned Data 2020 - 2024'!K:K=$C$173),'Cleaned Data 2020 - 2024'!D:D)</f>
        <v>457410</v>
      </c>
      <c r="D293" s="12" cm="1">
        <f t="array" ref="D293">_xlfn.XLOOKUP(1,('Cleaned Data 2020 - 2024'!$B:$B=$A293)*('Cleaned Data 2020 - 2024'!$K:$K=$D$173),'Cleaned Data 2020 - 2024'!$D:$D)</f>
        <v>445940</v>
      </c>
      <c r="E293" s="12" cm="1">
        <f t="array" ref="E293">_xlfn.XLOOKUP(1,('Cleaned Data 2020 - 2024'!$B:$B=A293)*('Cleaned Data 2020 - 2024'!$K:$K=$E$173),'Cleaned Data 2020 - 2024'!$D:$D)</f>
        <v>463080</v>
      </c>
      <c r="F293" s="12" cm="1">
        <f t="array" ref="F293">_xlfn.XLOOKUP(1,('Cleaned Data 2020 - 2024'!$B:$B=A293)*('Cleaned Data 2020 - 2024'!$K:$K=$F$173),'Cleaned Data 2020 - 2024'!$D:$D)</f>
        <v>483170</v>
      </c>
      <c r="G293" s="27">
        <f t="shared" si="12"/>
        <v>26060</v>
      </c>
      <c r="H293" s="28">
        <f t="shared" si="13"/>
        <v>29</v>
      </c>
    </row>
    <row r="294" spans="1:8" hidden="1" x14ac:dyDescent="0.3">
      <c r="A294" s="23" t="s">
        <v>131</v>
      </c>
      <c r="B294" s="12" cm="1">
        <f t="array" ref="B294">_xlfn.XLOOKUP(1,('Cleaned Data 2020 - 2024'!$B:$B=Calculations!A294)*('Cleaned Data 2020 - 2024'!$K:$K=$B$173),'Cleaned Data 2020 - 2024'!$D:$D)</f>
        <v>456070</v>
      </c>
      <c r="C294" s="12" cm="1">
        <f t="array" ref="C294">_xlfn.XLOOKUP(1,('Cleaned Data 2020 - 2024'!B:B=A294)*('Cleaned Data 2020 - 2024'!K:K=$C$173),'Cleaned Data 2020 - 2024'!D:D)</f>
        <v>487480</v>
      </c>
      <c r="D294" s="12" cm="1">
        <f t="array" ref="D294">_xlfn.XLOOKUP(1,('Cleaned Data 2020 - 2024'!$B:$B=$A294)*('Cleaned Data 2020 - 2024'!$K:$K=$D$173),'Cleaned Data 2020 - 2024'!$D:$D)</f>
        <v>508410</v>
      </c>
      <c r="E294" s="12" cm="1">
        <f t="array" ref="E294">_xlfn.XLOOKUP(1,('Cleaned Data 2020 - 2024'!$B:$B=A294)*('Cleaned Data 2020 - 2024'!$K:$K=$E$173),'Cleaned Data 2020 - 2024'!$D:$D)</f>
        <v>507140</v>
      </c>
      <c r="F294" s="12" cm="1">
        <f t="array" ref="F294">_xlfn.XLOOKUP(1,('Cleaned Data 2020 - 2024'!$B:$B=A294)*('Cleaned Data 2020 - 2024'!$K:$K=$F$173),'Cleaned Data 2020 - 2024'!$D:$D)</f>
        <v>487300</v>
      </c>
      <c r="G294" s="27">
        <f t="shared" si="12"/>
        <v>31230</v>
      </c>
      <c r="H294" s="28">
        <f t="shared" si="13"/>
        <v>23</v>
      </c>
    </row>
    <row r="295" spans="1:8" hidden="1" x14ac:dyDescent="0.3">
      <c r="A295" s="23" t="s">
        <v>136</v>
      </c>
      <c r="B295" s="12" cm="1">
        <f t="array" ref="B295">_xlfn.XLOOKUP(1,('Cleaned Data 2020 - 2024'!$B:$B=Calculations!A295)*('Cleaned Data 2020 - 2024'!$K:$K=$B$173),'Cleaned Data 2020 - 2024'!$D:$D)</f>
        <v>455790</v>
      </c>
      <c r="C295" s="12" cm="1">
        <f t="array" ref="C295">_xlfn.XLOOKUP(1,('Cleaned Data 2020 - 2024'!B:B=A295)*('Cleaned Data 2020 - 2024'!K:K=$C$173),'Cleaned Data 2020 - 2024'!D:D)</f>
        <v>462520</v>
      </c>
      <c r="D295" s="12" cm="1">
        <f t="array" ref="D295">_xlfn.XLOOKUP(1,('Cleaned Data 2020 - 2024'!$B:$B=$A295)*('Cleaned Data 2020 - 2024'!$K:$K=$D$173),'Cleaned Data 2020 - 2024'!$D:$D)</f>
        <v>512150</v>
      </c>
      <c r="E295" s="12" cm="1">
        <f t="array" ref="E295">_xlfn.XLOOKUP(1,('Cleaned Data 2020 - 2024'!$B:$B=A295)*('Cleaned Data 2020 - 2024'!$K:$K=$E$173),'Cleaned Data 2020 - 2024'!$D:$D)</f>
        <v>404230</v>
      </c>
      <c r="F295" s="12" cm="1">
        <f t="array" ref="F295">_xlfn.XLOOKUP(1,('Cleaned Data 2020 - 2024'!$B:$B=A295)*('Cleaned Data 2020 - 2024'!$K:$K=$F$173),'Cleaned Data 2020 - 2024'!$D:$D)</f>
        <v>426860</v>
      </c>
      <c r="G295" s="27">
        <f t="shared" si="12"/>
        <v>-28930</v>
      </c>
      <c r="H295" s="28">
        <f t="shared" si="13"/>
        <v>131</v>
      </c>
    </row>
    <row r="296" spans="1:8" hidden="1" x14ac:dyDescent="0.3">
      <c r="A296" s="23" t="s">
        <v>128</v>
      </c>
      <c r="B296" s="12" cm="1">
        <f t="array" ref="B296">_xlfn.XLOOKUP(1,('Cleaned Data 2020 - 2024'!$B:$B=Calculations!A296)*('Cleaned Data 2020 - 2024'!$K:$K=$B$173),'Cleaned Data 2020 - 2024'!$D:$D)</f>
        <v>455280</v>
      </c>
      <c r="C296" s="12" cm="1">
        <f t="array" ref="C296">_xlfn.XLOOKUP(1,('Cleaned Data 2020 - 2024'!B:B=A296)*('Cleaned Data 2020 - 2024'!K:K=$C$173),'Cleaned Data 2020 - 2024'!D:D)</f>
        <v>451670</v>
      </c>
      <c r="D296" s="12" cm="1">
        <f t="array" ref="D296">_xlfn.XLOOKUP(1,('Cleaned Data 2020 - 2024'!$B:$B=$A296)*('Cleaned Data 2020 - 2024'!$K:$K=$D$173),'Cleaned Data 2020 - 2024'!$D:$D)</f>
        <v>448250</v>
      </c>
      <c r="E296" s="12">
        <f>AVERAGE(B296:D296)</f>
        <v>451733.33333333331</v>
      </c>
      <c r="F296" s="12">
        <f>AVERAGE(B296:D296)</f>
        <v>451733.33333333331</v>
      </c>
      <c r="G296" s="27">
        <f t="shared" si="12"/>
        <v>-3546.6666666666861</v>
      </c>
      <c r="H296" s="28">
        <f t="shared" si="13"/>
        <v>94</v>
      </c>
    </row>
    <row r="297" spans="1:8" hidden="1" x14ac:dyDescent="0.3">
      <c r="A297" s="23" t="s">
        <v>161</v>
      </c>
      <c r="B297" s="12" cm="1">
        <f t="array" ref="B297">_xlfn.XLOOKUP(1,('Cleaned Data 2020 - 2024'!$B:$B=Calculations!A297)*('Cleaned Data 2020 - 2024'!$K:$K=$B$173),'Cleaned Data 2020 - 2024'!$D:$D)</f>
        <v>443200</v>
      </c>
      <c r="C297" s="12" cm="1">
        <f t="array" ref="C297">_xlfn.XLOOKUP(1,('Cleaned Data 2020 - 2024'!B:B=A297)*('Cleaned Data 2020 - 2024'!K:K=$C$173),'Cleaned Data 2020 - 2024'!D:D)</f>
        <v>463650</v>
      </c>
      <c r="D297" s="12" cm="1">
        <f t="array" ref="D297">_xlfn.XLOOKUP(1,('Cleaned Data 2020 - 2024'!$B:$B=$A297)*('Cleaned Data 2020 - 2024'!$K:$K=$D$173),'Cleaned Data 2020 - 2024'!$D:$D)</f>
        <v>460260</v>
      </c>
      <c r="E297" s="12" cm="1">
        <f t="array" ref="E297">_xlfn.XLOOKUP(1,('Cleaned Data 2020 - 2024'!$B:$B=A297)*('Cleaned Data 2020 - 2024'!$K:$K=$E$173),'Cleaned Data 2020 - 2024'!$D:$D)</f>
        <v>443250</v>
      </c>
      <c r="F297" s="12" cm="1">
        <f t="array" ref="F297">_xlfn.XLOOKUP(1,('Cleaned Data 2020 - 2024'!$B:$B=A297)*('Cleaned Data 2020 - 2024'!$K:$K=$F$173),'Cleaned Data 2020 - 2024'!$D:$D)</f>
        <v>437170</v>
      </c>
      <c r="G297" s="27">
        <f t="shared" si="12"/>
        <v>-6030</v>
      </c>
      <c r="H297" s="28">
        <f t="shared" si="13"/>
        <v>98</v>
      </c>
    </row>
    <row r="298" spans="1:8" hidden="1" x14ac:dyDescent="0.3">
      <c r="A298" s="23" t="s">
        <v>169</v>
      </c>
      <c r="B298" s="12" cm="1">
        <f t="array" ref="B298">_xlfn.XLOOKUP(1,('Cleaned Data 2020 - 2024'!$B:$B=Calculations!A298)*('Cleaned Data 2020 - 2024'!$K:$K=$B$173),'Cleaned Data 2020 - 2024'!$D:$D)</f>
        <v>442270</v>
      </c>
      <c r="C298" s="12" cm="1">
        <f t="array" ref="C298">_xlfn.XLOOKUP(1,('Cleaned Data 2020 - 2024'!B:B=A298)*('Cleaned Data 2020 - 2024'!K:K=$C$173),'Cleaned Data 2020 - 2024'!D:D)</f>
        <v>435540</v>
      </c>
      <c r="D298" s="12" cm="1">
        <f t="array" ref="D298">_xlfn.XLOOKUP(1,('Cleaned Data 2020 - 2024'!$B:$B=$A298)*('Cleaned Data 2020 - 2024'!$K:$K=$D$173),'Cleaned Data 2020 - 2024'!$D:$D)</f>
        <v>425080</v>
      </c>
      <c r="E298" s="12" cm="1">
        <f t="array" ref="E298">_xlfn.XLOOKUP(1,('Cleaned Data 2020 - 2024'!$B:$B=A298)*('Cleaned Data 2020 - 2024'!$K:$K=$E$173),'Cleaned Data 2020 - 2024'!$D:$D)</f>
        <v>439660</v>
      </c>
      <c r="F298" s="12" cm="1">
        <f t="array" ref="F298">_xlfn.XLOOKUP(1,('Cleaned Data 2020 - 2024'!$B:$B=A298)*('Cleaned Data 2020 - 2024'!$K:$K=$F$173),'Cleaned Data 2020 - 2024'!$D:$D)</f>
        <v>447130</v>
      </c>
      <c r="G298" s="27">
        <f t="shared" si="12"/>
        <v>4860</v>
      </c>
      <c r="H298" s="28">
        <f t="shared" si="13"/>
        <v>64</v>
      </c>
    </row>
    <row r="299" spans="1:8" hidden="1" x14ac:dyDescent="0.3">
      <c r="A299" s="23" t="s">
        <v>127</v>
      </c>
      <c r="B299" s="12" cm="1">
        <f t="array" ref="B299">_xlfn.XLOOKUP(1,('Cleaned Data 2020 - 2024'!$B:$B=Calculations!A299)*('Cleaned Data 2020 - 2024'!$K:$K=$B$173),'Cleaned Data 2020 - 2024'!$D:$D)</f>
        <v>439220</v>
      </c>
      <c r="C299" s="12" cm="1">
        <f t="array" ref="C299">_xlfn.XLOOKUP(1,('Cleaned Data 2020 - 2024'!B:B=A299)*('Cleaned Data 2020 - 2024'!K:K=$C$173),'Cleaned Data 2020 - 2024'!D:D)</f>
        <v>459650</v>
      </c>
      <c r="D299" s="12" cm="1">
        <f t="array" ref="D299">_xlfn.XLOOKUP(1,('Cleaned Data 2020 - 2024'!$B:$B=$A299)*('Cleaned Data 2020 - 2024'!$K:$K=$D$173),'Cleaned Data 2020 - 2024'!$D:$D)</f>
        <v>451600</v>
      </c>
      <c r="E299" s="12" cm="1">
        <f t="array" ref="E299">_xlfn.XLOOKUP(1,('Cleaned Data 2020 - 2024'!$B:$B=A299)*('Cleaned Data 2020 - 2024'!$K:$K=$E$173),'Cleaned Data 2020 - 2024'!$D:$D)</f>
        <v>449670</v>
      </c>
      <c r="F299" s="12" cm="1">
        <f t="array" ref="F299">_xlfn.XLOOKUP(1,('Cleaned Data 2020 - 2024'!$B:$B=A299)*('Cleaned Data 2020 - 2024'!$K:$K=$F$173),'Cleaned Data 2020 - 2024'!$D:$D)</f>
        <v>442180</v>
      </c>
      <c r="G299" s="27">
        <f t="shared" si="12"/>
        <v>2960</v>
      </c>
      <c r="H299" s="28">
        <f t="shared" si="13"/>
        <v>73</v>
      </c>
    </row>
    <row r="300" spans="1:8" hidden="1" x14ac:dyDescent="0.3">
      <c r="A300" s="23" t="s">
        <v>144</v>
      </c>
      <c r="B300" s="12" cm="1">
        <f t="array" ref="B300">_xlfn.XLOOKUP(1,('Cleaned Data 2020 - 2024'!$B:$B=Calculations!A300)*('Cleaned Data 2020 - 2024'!$K:$K=$B$173),'Cleaned Data 2020 - 2024'!$D:$D)</f>
        <v>437460</v>
      </c>
      <c r="C300" s="12" cm="1">
        <f t="array" ref="C300">_xlfn.XLOOKUP(1,('Cleaned Data 2020 - 2024'!B:B=A300)*('Cleaned Data 2020 - 2024'!K:K=$C$173),'Cleaned Data 2020 - 2024'!D:D)</f>
        <v>422740</v>
      </c>
      <c r="D300" s="12" cm="1">
        <f t="array" ref="D300">_xlfn.XLOOKUP(1,('Cleaned Data 2020 - 2024'!$B:$B=$A300)*('Cleaned Data 2020 - 2024'!$K:$K=$D$173),'Cleaned Data 2020 - 2024'!$D:$D)</f>
        <v>415260</v>
      </c>
      <c r="E300" s="12" cm="1">
        <f t="array" ref="E300">_xlfn.XLOOKUP(1,('Cleaned Data 2020 - 2024'!$B:$B=A300)*('Cleaned Data 2020 - 2024'!$K:$K=$E$173),'Cleaned Data 2020 - 2024'!$D:$D)</f>
        <v>472390</v>
      </c>
      <c r="F300" s="12" cm="1">
        <f t="array" ref="F300">_xlfn.XLOOKUP(1,('Cleaned Data 2020 - 2024'!$B:$B=A300)*('Cleaned Data 2020 - 2024'!$K:$K=$F$173),'Cleaned Data 2020 - 2024'!$D:$D)</f>
        <v>450510</v>
      </c>
      <c r="G300" s="27">
        <f t="shared" si="12"/>
        <v>13050</v>
      </c>
      <c r="H300" s="28">
        <f t="shared" si="13"/>
        <v>55</v>
      </c>
    </row>
    <row r="301" spans="1:8" hidden="1" x14ac:dyDescent="0.3">
      <c r="A301" s="23" t="s">
        <v>152</v>
      </c>
      <c r="B301" s="12" cm="1">
        <f t="array" ref="B301">_xlfn.XLOOKUP(1,('Cleaned Data 2020 - 2024'!$B:$B=Calculations!A301)*('Cleaned Data 2020 - 2024'!$K:$K=$B$173),'Cleaned Data 2020 - 2024'!$D:$D)</f>
        <v>432700</v>
      </c>
      <c r="C301" s="12" cm="1">
        <f t="array" ref="C301">_xlfn.XLOOKUP(1,('Cleaned Data 2020 - 2024'!B:B=A301)*('Cleaned Data 2020 - 2024'!K:K=$C$173),'Cleaned Data 2020 - 2024'!D:D)</f>
        <v>432500</v>
      </c>
      <c r="D301" s="12" cm="1">
        <f t="array" ref="D301">_xlfn.XLOOKUP(1,('Cleaned Data 2020 - 2024'!$B:$B=$A301)*('Cleaned Data 2020 - 2024'!$K:$K=$D$173),'Cleaned Data 2020 - 2024'!$D:$D)</f>
        <v>436220</v>
      </c>
      <c r="E301" s="12" cm="1">
        <f t="array" ref="E301">_xlfn.XLOOKUP(1,('Cleaned Data 2020 - 2024'!$B:$B=A301)*('Cleaned Data 2020 - 2024'!$K:$K=$E$173),'Cleaned Data 2020 - 2024'!$D:$D)</f>
        <v>444160</v>
      </c>
      <c r="F301" s="12" cm="1">
        <f t="array" ref="F301">_xlfn.XLOOKUP(1,('Cleaned Data 2020 - 2024'!$B:$B=A301)*('Cleaned Data 2020 - 2024'!$K:$K=$F$173),'Cleaned Data 2020 - 2024'!$D:$D)</f>
        <v>389810</v>
      </c>
      <c r="G301" s="27">
        <f t="shared" si="12"/>
        <v>-42890</v>
      </c>
      <c r="H301" s="28">
        <f t="shared" si="13"/>
        <v>140</v>
      </c>
    </row>
    <row r="302" spans="1:8" hidden="1" x14ac:dyDescent="0.3">
      <c r="A302" s="23" t="s">
        <v>140</v>
      </c>
      <c r="B302" s="12" cm="1">
        <f t="array" ref="B302">_xlfn.XLOOKUP(1,('Cleaned Data 2020 - 2024'!$B:$B=Calculations!A302)*('Cleaned Data 2020 - 2024'!$K:$K=$B$173),'Cleaned Data 2020 - 2024'!$D:$D)</f>
        <v>431100</v>
      </c>
      <c r="C302" s="12">
        <f>AVERAGE(E302:F302)</f>
        <v>325130</v>
      </c>
      <c r="D302" s="12">
        <f>AVERAGE(B302:C302)</f>
        <v>378115</v>
      </c>
      <c r="E302" s="12" cm="1">
        <f t="array" ref="E302">_xlfn.XLOOKUP(1,('Cleaned Data 2020 - 2024'!$B:$B=A302)*('Cleaned Data 2020 - 2024'!$K:$K=$E$173),'Cleaned Data 2020 - 2024'!$D:$D)</f>
        <v>320720</v>
      </c>
      <c r="F302" s="12" cm="1">
        <f t="array" ref="F302">_xlfn.XLOOKUP(1,('Cleaned Data 2020 - 2024'!$B:$B=A302)*('Cleaned Data 2020 - 2024'!$K:$K=$F$173),'Cleaned Data 2020 - 2024'!$D:$D)</f>
        <v>329540</v>
      </c>
      <c r="G302" s="27">
        <f t="shared" ref="G302:G333" si="14">F302-B302</f>
        <v>-101560</v>
      </c>
      <c r="H302" s="28">
        <f t="shared" ref="H302:H333" si="15">_xlfn.RANK.EQ(G302,$G$174:$G$329,0)</f>
        <v>154</v>
      </c>
    </row>
    <row r="303" spans="1:8" hidden="1" x14ac:dyDescent="0.3">
      <c r="A303" s="23" t="s">
        <v>194</v>
      </c>
      <c r="B303" s="12" cm="1">
        <f t="array" ref="B303">_xlfn.XLOOKUP(1,('Cleaned Data 2020 - 2024'!$B:$B=Calculations!A303)*('Cleaned Data 2020 - 2024'!$K:$K=$B$173),'Cleaned Data 2020 - 2024'!$D:$D)</f>
        <v>430810</v>
      </c>
      <c r="C303" s="12" cm="1">
        <f t="array" ref="C303">_xlfn.XLOOKUP(1,('Cleaned Data 2020 - 2024'!B:B=A303)*('Cleaned Data 2020 - 2024'!K:K=$C$173),'Cleaned Data 2020 - 2024'!D:D)</f>
        <v>430810</v>
      </c>
      <c r="D303" s="12" cm="1">
        <f t="array" ref="D303">_xlfn.XLOOKUP(1,('Cleaned Data 2020 - 2024'!$B:$B=$A303)*('Cleaned Data 2020 - 2024'!$K:$K=$D$173),'Cleaned Data 2020 - 2024'!$D:$D)</f>
        <v>439610</v>
      </c>
      <c r="E303" s="12">
        <f>AVERAGE(B303:D303)</f>
        <v>433743.33333333331</v>
      </c>
      <c r="F303" s="12" cm="1">
        <f t="array" ref="F303">_xlfn.XLOOKUP(1,('Cleaned Data 2020 - 2024'!$B:$B=A303)*('Cleaned Data 2020 - 2024'!$K:$K=$F$173),'Cleaned Data 2020 - 2024'!$D:$D)</f>
        <v>350200</v>
      </c>
      <c r="G303" s="27">
        <f t="shared" si="14"/>
        <v>-80610</v>
      </c>
      <c r="H303" s="28">
        <f t="shared" si="15"/>
        <v>149</v>
      </c>
    </row>
    <row r="304" spans="1:8" hidden="1" x14ac:dyDescent="0.3">
      <c r="A304" s="23" t="s">
        <v>149</v>
      </c>
      <c r="B304" s="12" cm="1">
        <f t="array" ref="B304">_xlfn.XLOOKUP(1,('Cleaned Data 2020 - 2024'!$B:$B=Calculations!A304)*('Cleaned Data 2020 - 2024'!$K:$K=$B$173),'Cleaned Data 2020 - 2024'!$D:$D)</f>
        <v>430800</v>
      </c>
      <c r="C304" s="12" cm="1">
        <f t="array" ref="C304">_xlfn.XLOOKUP(1,('Cleaned Data 2020 - 2024'!B:B=A304)*('Cleaned Data 2020 - 2024'!K:K=$C$173),'Cleaned Data 2020 - 2024'!D:D)</f>
        <v>442580</v>
      </c>
      <c r="D304" s="12" cm="1">
        <f t="array" ref="D304">_xlfn.XLOOKUP(1,('Cleaned Data 2020 - 2024'!$B:$B=$A304)*('Cleaned Data 2020 - 2024'!$K:$K=$D$173),'Cleaned Data 2020 - 2024'!$D:$D)</f>
        <v>439420</v>
      </c>
      <c r="E304" s="12" cm="1">
        <f t="array" ref="E304">_xlfn.XLOOKUP(1,('Cleaned Data 2020 - 2024'!$B:$B=A304)*('Cleaned Data 2020 - 2024'!$K:$K=$E$173),'Cleaned Data 2020 - 2024'!$D:$D)</f>
        <v>437250</v>
      </c>
      <c r="F304" s="12" cm="1">
        <f t="array" ref="F304">_xlfn.XLOOKUP(1,('Cleaned Data 2020 - 2024'!$B:$B=A304)*('Cleaned Data 2020 - 2024'!$K:$K=$F$173),'Cleaned Data 2020 - 2024'!$D:$D)</f>
        <v>435450</v>
      </c>
      <c r="G304" s="27">
        <f t="shared" si="14"/>
        <v>4650</v>
      </c>
      <c r="H304" s="28">
        <f t="shared" si="15"/>
        <v>66</v>
      </c>
    </row>
    <row r="305" spans="1:8" hidden="1" x14ac:dyDescent="0.3">
      <c r="A305" s="23" t="s">
        <v>160</v>
      </c>
      <c r="B305" s="12" cm="1">
        <f t="array" ref="B305">_xlfn.XLOOKUP(1,('Cleaned Data 2020 - 2024'!$B:$B=Calculations!A305)*('Cleaned Data 2020 - 2024'!$K:$K=$B$173),'Cleaned Data 2020 - 2024'!$D:$D)</f>
        <v>428860</v>
      </c>
      <c r="C305" s="12" cm="1">
        <f t="array" ref="C305">_xlfn.XLOOKUP(1,('Cleaned Data 2020 - 2024'!B:B=A305)*('Cleaned Data 2020 - 2024'!K:K=$C$173),'Cleaned Data 2020 - 2024'!D:D)</f>
        <v>428860</v>
      </c>
      <c r="D305" s="12" cm="1">
        <f t="array" ref="D305">_xlfn.XLOOKUP(1,('Cleaned Data 2020 - 2024'!$B:$B=$A305)*('Cleaned Data 2020 - 2024'!$K:$K=$D$173),'Cleaned Data 2020 - 2024'!$D:$D)</f>
        <v>460860</v>
      </c>
      <c r="E305" s="12" cm="1">
        <f t="array" ref="E305">_xlfn.XLOOKUP(1,('Cleaned Data 2020 - 2024'!$B:$B=A305)*('Cleaned Data 2020 - 2024'!$K:$K=$E$173),'Cleaned Data 2020 - 2024'!$D:$D)</f>
        <v>354520</v>
      </c>
      <c r="F305" s="12" cm="1">
        <f t="array" ref="F305">_xlfn.XLOOKUP(1,('Cleaned Data 2020 - 2024'!$B:$B=A305)*('Cleaned Data 2020 - 2024'!$K:$K=$F$173),'Cleaned Data 2020 - 2024'!$D:$D)</f>
        <v>356630</v>
      </c>
      <c r="G305" s="27">
        <f t="shared" si="14"/>
        <v>-72230</v>
      </c>
      <c r="H305" s="28">
        <f t="shared" si="15"/>
        <v>148</v>
      </c>
    </row>
    <row r="306" spans="1:8" hidden="1" x14ac:dyDescent="0.3">
      <c r="A306" s="23" t="s">
        <v>178</v>
      </c>
      <c r="B306" s="12" cm="1">
        <f t="array" ref="B306">_xlfn.XLOOKUP(1,('Cleaned Data 2020 - 2024'!$B:$B=Calculations!A306)*('Cleaned Data 2020 - 2024'!$K:$K=$B$173),'Cleaned Data 2020 - 2024'!$D:$D)</f>
        <v>418720</v>
      </c>
      <c r="C306" s="12" cm="1">
        <f t="array" ref="C306">_xlfn.XLOOKUP(1,('Cleaned Data 2020 - 2024'!B:B=A306)*('Cleaned Data 2020 - 2024'!K:K=$C$173),'Cleaned Data 2020 - 2024'!D:D)</f>
        <v>410680</v>
      </c>
      <c r="D306" s="12" cm="1">
        <f t="array" ref="D306">_xlfn.XLOOKUP(1,('Cleaned Data 2020 - 2024'!$B:$B=$A306)*('Cleaned Data 2020 - 2024'!$K:$K=$D$173),'Cleaned Data 2020 - 2024'!$D:$D)</f>
        <v>411230</v>
      </c>
      <c r="E306" s="12" cm="1">
        <f t="array" ref="E306">_xlfn.XLOOKUP(1,('Cleaned Data 2020 - 2024'!$B:$B=A306)*('Cleaned Data 2020 - 2024'!$K:$K=$E$173),'Cleaned Data 2020 - 2024'!$D:$D)</f>
        <v>413740</v>
      </c>
      <c r="F306" s="12" cm="1">
        <f t="array" ref="F306">_xlfn.XLOOKUP(1,('Cleaned Data 2020 - 2024'!$B:$B=A306)*('Cleaned Data 2020 - 2024'!$K:$K=$F$173),'Cleaned Data 2020 - 2024'!$D:$D)</f>
        <v>421410</v>
      </c>
      <c r="G306" s="27">
        <f t="shared" si="14"/>
        <v>2690</v>
      </c>
      <c r="H306" s="28">
        <f t="shared" si="15"/>
        <v>75</v>
      </c>
    </row>
    <row r="307" spans="1:8" hidden="1" x14ac:dyDescent="0.3">
      <c r="A307" s="23" t="s">
        <v>142</v>
      </c>
      <c r="B307" s="12" cm="1">
        <f t="array" ref="B307">_xlfn.XLOOKUP(1,('Cleaned Data 2020 - 2024'!$B:$B=Calculations!A307)*('Cleaned Data 2020 - 2024'!$K:$K=$B$173),'Cleaned Data 2020 - 2024'!$D:$D)</f>
        <v>418620</v>
      </c>
      <c r="C307" s="12" cm="1">
        <f t="array" ref="C307">_xlfn.XLOOKUP(1,('Cleaned Data 2020 - 2024'!B:B=A307)*('Cleaned Data 2020 - 2024'!K:K=$C$173),'Cleaned Data 2020 - 2024'!D:D)</f>
        <v>427470</v>
      </c>
      <c r="D307" s="12" cm="1">
        <f t="array" ref="D307">_xlfn.XLOOKUP(1,('Cleaned Data 2020 - 2024'!$B:$B=$A307)*('Cleaned Data 2020 - 2024'!$K:$K=$D$173),'Cleaned Data 2020 - 2024'!$D:$D)</f>
        <v>424150</v>
      </c>
      <c r="E307" s="12" cm="1">
        <f t="array" ref="E307">_xlfn.XLOOKUP(1,('Cleaned Data 2020 - 2024'!$B:$B=A307)*('Cleaned Data 2020 - 2024'!$K:$K=$E$173),'Cleaned Data 2020 - 2024'!$D:$D)</f>
        <v>409060</v>
      </c>
      <c r="F307" s="12" cm="1">
        <f t="array" ref="F307">_xlfn.XLOOKUP(1,('Cleaned Data 2020 - 2024'!$B:$B=A307)*('Cleaned Data 2020 - 2024'!$K:$K=$F$173),'Cleaned Data 2020 - 2024'!$D:$D)</f>
        <v>386090</v>
      </c>
      <c r="G307" s="27">
        <f t="shared" si="14"/>
        <v>-32530</v>
      </c>
      <c r="H307" s="28">
        <f t="shared" si="15"/>
        <v>133</v>
      </c>
    </row>
    <row r="308" spans="1:8" hidden="1" x14ac:dyDescent="0.3">
      <c r="A308" s="23" t="s">
        <v>167</v>
      </c>
      <c r="B308" s="12" cm="1">
        <f t="array" ref="B308">_xlfn.XLOOKUP(1,('Cleaned Data 2020 - 2024'!$B:$B=Calculations!A308)*('Cleaned Data 2020 - 2024'!$K:$K=$B$173),'Cleaned Data 2020 - 2024'!$D:$D)</f>
        <v>416560</v>
      </c>
      <c r="C308" s="12" cm="1">
        <f t="array" ref="C308">_xlfn.XLOOKUP(1,('Cleaned Data 2020 - 2024'!B:B=A308)*('Cleaned Data 2020 - 2024'!K:K=$C$173),'Cleaned Data 2020 - 2024'!D:D)</f>
        <v>420850</v>
      </c>
      <c r="D308" s="12" cm="1">
        <f t="array" ref="D308">_xlfn.XLOOKUP(1,('Cleaned Data 2020 - 2024'!$B:$B=$A308)*('Cleaned Data 2020 - 2024'!$K:$K=$D$173),'Cleaned Data 2020 - 2024'!$D:$D)</f>
        <v>433910</v>
      </c>
      <c r="E308" s="12" cm="1">
        <f t="array" ref="E308">_xlfn.XLOOKUP(1,('Cleaned Data 2020 - 2024'!$B:$B=A308)*('Cleaned Data 2020 - 2024'!$K:$K=$E$173),'Cleaned Data 2020 - 2024'!$D:$D)</f>
        <v>401910</v>
      </c>
      <c r="F308" s="12" cm="1">
        <f t="array" ref="F308">_xlfn.XLOOKUP(1,('Cleaned Data 2020 - 2024'!$B:$B=A308)*('Cleaned Data 2020 - 2024'!$K:$K=$F$173),'Cleaned Data 2020 - 2024'!$D:$D)</f>
        <v>422790</v>
      </c>
      <c r="G308" s="27">
        <f t="shared" si="14"/>
        <v>6230</v>
      </c>
      <c r="H308" s="28">
        <f t="shared" si="15"/>
        <v>62</v>
      </c>
    </row>
    <row r="309" spans="1:8" hidden="1" x14ac:dyDescent="0.3">
      <c r="A309" s="23" t="s">
        <v>155</v>
      </c>
      <c r="B309" s="12" cm="1">
        <f t="array" ref="B309">_xlfn.XLOOKUP(1,('Cleaned Data 2020 - 2024'!$B:$B=Calculations!A309)*('Cleaned Data 2020 - 2024'!$K:$K=$B$173),'Cleaned Data 2020 - 2024'!$D:$D)</f>
        <v>415140</v>
      </c>
      <c r="C309" s="12" cm="1">
        <f t="array" ref="C309">_xlfn.XLOOKUP(1,('Cleaned Data 2020 - 2024'!B:B=A309)*('Cleaned Data 2020 - 2024'!K:K=$C$173),'Cleaned Data 2020 - 2024'!D:D)</f>
        <v>428270</v>
      </c>
      <c r="D309" s="12" cm="1">
        <f t="array" ref="D309">_xlfn.XLOOKUP(1,('Cleaned Data 2020 - 2024'!$B:$B=$A309)*('Cleaned Data 2020 - 2024'!$K:$K=$D$173),'Cleaned Data 2020 - 2024'!$D:$D)</f>
        <v>428770</v>
      </c>
      <c r="E309" s="12" cm="1">
        <f t="array" ref="E309">_xlfn.XLOOKUP(1,('Cleaned Data 2020 - 2024'!$B:$B=A309)*('Cleaned Data 2020 - 2024'!$K:$K=$E$173),'Cleaned Data 2020 - 2024'!$D:$D)</f>
        <v>417050</v>
      </c>
      <c r="F309" s="12" cm="1">
        <f t="array" ref="F309">_xlfn.XLOOKUP(1,('Cleaned Data 2020 - 2024'!$B:$B=A309)*('Cleaned Data 2020 - 2024'!$K:$K=$F$173),'Cleaned Data 2020 - 2024'!$D:$D)</f>
        <v>397660</v>
      </c>
      <c r="G309" s="27">
        <f t="shared" si="14"/>
        <v>-17480</v>
      </c>
      <c r="H309" s="28">
        <f t="shared" si="15"/>
        <v>117</v>
      </c>
    </row>
    <row r="310" spans="1:8" hidden="1" x14ac:dyDescent="0.3">
      <c r="A310" s="23" t="s">
        <v>143</v>
      </c>
      <c r="B310" s="12" cm="1">
        <f t="array" ref="B310">_xlfn.XLOOKUP(1,('Cleaned Data 2020 - 2024'!$B:$B=Calculations!A310)*('Cleaned Data 2020 - 2024'!$K:$K=$B$173),'Cleaned Data 2020 - 2024'!$D:$D)</f>
        <v>392640</v>
      </c>
      <c r="C310" s="12" cm="1">
        <f t="array" ref="C310">_xlfn.XLOOKUP(1,('Cleaned Data 2020 - 2024'!B:B=A310)*('Cleaned Data 2020 - 2024'!K:K=$C$173),'Cleaned Data 2020 - 2024'!D:D)</f>
        <v>384940</v>
      </c>
      <c r="D310" s="12" cm="1">
        <f t="array" ref="D310">_xlfn.XLOOKUP(1,('Cleaned Data 2020 - 2024'!$B:$B=$A310)*('Cleaned Data 2020 - 2024'!$K:$K=$D$173),'Cleaned Data 2020 - 2024'!$D:$D)</f>
        <v>357400</v>
      </c>
      <c r="E310" s="12" cm="1">
        <f t="array" ref="E310">_xlfn.XLOOKUP(1,('Cleaned Data 2020 - 2024'!$B:$B=A310)*('Cleaned Data 2020 - 2024'!$K:$K=$E$173),'Cleaned Data 2020 - 2024'!$D:$D)</f>
        <v>313760</v>
      </c>
      <c r="F310" s="12" cm="1">
        <f t="array" ref="F310">_xlfn.XLOOKUP(1,('Cleaned Data 2020 - 2024'!$B:$B=A310)*('Cleaned Data 2020 - 2024'!$K:$K=$F$173),'Cleaned Data 2020 - 2024'!$D:$D)</f>
        <v>324520</v>
      </c>
      <c r="G310" s="27">
        <f t="shared" si="14"/>
        <v>-68120</v>
      </c>
      <c r="H310" s="28">
        <f t="shared" si="15"/>
        <v>147</v>
      </c>
    </row>
    <row r="311" spans="1:8" hidden="1" x14ac:dyDescent="0.3">
      <c r="A311" s="23" t="s">
        <v>177</v>
      </c>
      <c r="B311" s="12" cm="1">
        <f t="array" ref="B311">_xlfn.XLOOKUP(1,('Cleaned Data 2020 - 2024'!$B:$B=Calculations!A311)*('Cleaned Data 2020 - 2024'!$K:$K=$B$173),'Cleaned Data 2020 - 2024'!$D:$D)</f>
        <v>377530</v>
      </c>
      <c r="C311" s="12" cm="1">
        <f t="array" ref="C311">_xlfn.XLOOKUP(1,('Cleaned Data 2020 - 2024'!B:B=A311)*('Cleaned Data 2020 - 2024'!K:K=$C$173),'Cleaned Data 2020 - 2024'!D:D)</f>
        <v>377530</v>
      </c>
      <c r="D311" s="12">
        <f>AVERAGE(B311:C311)</f>
        <v>377530</v>
      </c>
      <c r="E311" s="12">
        <f>AVERAGE(C311:D311)</f>
        <v>377530</v>
      </c>
      <c r="F311" s="12">
        <f>AVERAGE(D311:E311)</f>
        <v>377530</v>
      </c>
      <c r="G311" s="27">
        <f t="shared" si="14"/>
        <v>0</v>
      </c>
      <c r="H311" s="28">
        <f t="shared" si="15"/>
        <v>82</v>
      </c>
    </row>
    <row r="312" spans="1:8" hidden="1" x14ac:dyDescent="0.3">
      <c r="A312" s="23" t="s">
        <v>105</v>
      </c>
      <c r="B312" s="12" cm="1">
        <f t="array" ref="B312">_xlfn.XLOOKUP(1,('Cleaned Data 2020 - 2024'!$B:$B=Calculations!A312)*('Cleaned Data 2020 - 2024'!$K:$K=$B$173),'Cleaned Data 2020 - 2024'!$D:$D)</f>
        <v>375940</v>
      </c>
      <c r="C312" s="12" cm="1">
        <f t="array" ref="C312">_xlfn.XLOOKUP(1,('Cleaned Data 2020 - 2024'!B:B=A312)*('Cleaned Data 2020 - 2024'!K:K=$C$173),'Cleaned Data 2020 - 2024'!D:D)</f>
        <v>407340</v>
      </c>
      <c r="D312" s="12" cm="1">
        <f t="array" ref="D312">_xlfn.XLOOKUP(1,('Cleaned Data 2020 - 2024'!$B:$B=$A312)*('Cleaned Data 2020 - 2024'!$K:$K=$D$173),'Cleaned Data 2020 - 2024'!$D:$D)</f>
        <v>375980</v>
      </c>
      <c r="E312" s="12" cm="1">
        <f t="array" ref="E312">_xlfn.XLOOKUP(1,('Cleaned Data 2020 - 2024'!$B:$B=A312)*('Cleaned Data 2020 - 2024'!$K:$K=$E$173),'Cleaned Data 2020 - 2024'!$D:$D)</f>
        <v>398220</v>
      </c>
      <c r="F312" s="12" cm="1">
        <f t="array" ref="F312">_xlfn.XLOOKUP(1,('Cleaned Data 2020 - 2024'!$B:$B=A312)*('Cleaned Data 2020 - 2024'!$K:$K=$F$173),'Cleaned Data 2020 - 2024'!$D:$D)</f>
        <v>350240</v>
      </c>
      <c r="G312" s="27">
        <f t="shared" si="14"/>
        <v>-25700</v>
      </c>
      <c r="H312" s="28">
        <f t="shared" si="15"/>
        <v>126</v>
      </c>
    </row>
    <row r="313" spans="1:8" hidden="1" x14ac:dyDescent="0.3">
      <c r="A313" s="23" t="s">
        <v>139</v>
      </c>
      <c r="B313" s="12" cm="1">
        <f t="array" ref="B313">_xlfn.XLOOKUP(1,('Cleaned Data 2020 - 2024'!$B:$B=Calculations!A313)*('Cleaned Data 2020 - 2024'!$K:$K=$B$173),'Cleaned Data 2020 - 2024'!$D:$D)</f>
        <v>372080</v>
      </c>
      <c r="C313" s="12" cm="1">
        <f t="array" ref="C313">_xlfn.XLOOKUP(1,('Cleaned Data 2020 - 2024'!B:B=A313)*('Cleaned Data 2020 - 2024'!K:K=$C$173),'Cleaned Data 2020 - 2024'!D:D)</f>
        <v>361490</v>
      </c>
      <c r="D313" s="12">
        <f>AVERAGE(B313:C313)</f>
        <v>366785</v>
      </c>
      <c r="E313" s="12">
        <f>AVERAGE(C313:D313)</f>
        <v>364137.5</v>
      </c>
      <c r="F313" s="12">
        <f>AVERAGE(D313:E313)</f>
        <v>365461.25</v>
      </c>
      <c r="G313" s="27">
        <f t="shared" si="14"/>
        <v>-6618.75</v>
      </c>
      <c r="H313" s="28">
        <f t="shared" si="15"/>
        <v>102</v>
      </c>
    </row>
    <row r="314" spans="1:8" hidden="1" x14ac:dyDescent="0.3">
      <c r="A314" s="23" t="s">
        <v>117</v>
      </c>
      <c r="B314" s="12" cm="1">
        <f t="array" ref="B314">_xlfn.XLOOKUP(1,('Cleaned Data 2020 - 2024'!$B:$B=Calculations!A314)*('Cleaned Data 2020 - 2024'!$K:$K=$B$173),'Cleaned Data 2020 - 2024'!$D:$D)</f>
        <v>365280</v>
      </c>
      <c r="C314" s="12" cm="1">
        <f t="array" ref="C314">_xlfn.XLOOKUP(1,('Cleaned Data 2020 - 2024'!B:B=A314)*('Cleaned Data 2020 - 2024'!K:K=$C$173),'Cleaned Data 2020 - 2024'!D:D)</f>
        <v>351180</v>
      </c>
      <c r="D314" s="12" cm="1">
        <f t="array" ref="D314">_xlfn.XLOOKUP(1,('Cleaned Data 2020 - 2024'!$B:$B=$A314)*('Cleaned Data 2020 - 2024'!$K:$K=$D$173),'Cleaned Data 2020 - 2024'!$D:$D)</f>
        <v>351180</v>
      </c>
      <c r="E314" s="12">
        <f>AVERAGE(B314:D314)</f>
        <v>355880</v>
      </c>
      <c r="F314" s="12" cm="1">
        <f t="array" ref="F314">_xlfn.XLOOKUP(1,('Cleaned Data 2020 - 2024'!$B:$B=A314)*('Cleaned Data 2020 - 2024'!$K:$K=$F$173),'Cleaned Data 2020 - 2024'!$D:$D)</f>
        <v>318620</v>
      </c>
      <c r="G314" s="27">
        <f t="shared" si="14"/>
        <v>-46660</v>
      </c>
      <c r="H314" s="28">
        <f t="shared" si="15"/>
        <v>142</v>
      </c>
    </row>
    <row r="315" spans="1:8" hidden="1" x14ac:dyDescent="0.3">
      <c r="A315" s="23" t="s">
        <v>137</v>
      </c>
      <c r="B315" s="12" cm="1">
        <f t="array" ref="B315">_xlfn.XLOOKUP(1,('Cleaned Data 2020 - 2024'!$B:$B=Calculations!A315)*('Cleaned Data 2020 - 2024'!$K:$K=$B$173),'Cleaned Data 2020 - 2024'!$D:$D)</f>
        <v>357330</v>
      </c>
      <c r="C315" s="12" cm="1">
        <f t="array" ref="C315">_xlfn.XLOOKUP(1,('Cleaned Data 2020 - 2024'!B:B=A315)*('Cleaned Data 2020 - 2024'!K:K=$C$173),'Cleaned Data 2020 - 2024'!D:D)</f>
        <v>381890</v>
      </c>
      <c r="D315" s="12" cm="1">
        <f t="array" ref="D315">_xlfn.XLOOKUP(1,('Cleaned Data 2020 - 2024'!$B:$B=$A315)*('Cleaned Data 2020 - 2024'!$K:$K=$D$173),'Cleaned Data 2020 - 2024'!$D:$D)</f>
        <v>377710</v>
      </c>
      <c r="E315" s="12" cm="1">
        <f t="array" ref="E315">_xlfn.XLOOKUP(1,('Cleaned Data 2020 - 2024'!$B:$B=A315)*('Cleaned Data 2020 - 2024'!$K:$K=$E$173),'Cleaned Data 2020 - 2024'!$D:$D)</f>
        <v>403580</v>
      </c>
      <c r="F315" s="12" cm="1">
        <f t="array" ref="F315">_xlfn.XLOOKUP(1,('Cleaned Data 2020 - 2024'!$B:$B=A315)*('Cleaned Data 2020 - 2024'!$K:$K=$F$173),'Cleaned Data 2020 - 2024'!$D:$D)</f>
        <v>405410</v>
      </c>
      <c r="G315" s="27">
        <f t="shared" si="14"/>
        <v>48080</v>
      </c>
      <c r="H315" s="28">
        <f t="shared" si="15"/>
        <v>12</v>
      </c>
    </row>
    <row r="316" spans="1:8" hidden="1" x14ac:dyDescent="0.3">
      <c r="A316" s="23" t="s">
        <v>151</v>
      </c>
      <c r="B316" s="12" cm="1">
        <f t="array" ref="B316">_xlfn.XLOOKUP(1,('Cleaned Data 2020 - 2024'!$B:$B=Calculations!A316)*('Cleaned Data 2020 - 2024'!$K:$K=$B$173),'Cleaned Data 2020 - 2024'!$D:$D)</f>
        <v>353800</v>
      </c>
      <c r="C316" s="12" cm="1">
        <f t="array" ref="C316">_xlfn.XLOOKUP(1,('Cleaned Data 2020 - 2024'!B:B=A316)*('Cleaned Data 2020 - 2024'!K:K=$C$173),'Cleaned Data 2020 - 2024'!D:D)</f>
        <v>360000</v>
      </c>
      <c r="D316" s="12" cm="1">
        <f t="array" ref="D316">_xlfn.XLOOKUP(1,('Cleaned Data 2020 - 2024'!$B:$B=$A316)*('Cleaned Data 2020 - 2024'!$K:$K=$D$173),'Cleaned Data 2020 - 2024'!$D:$D)</f>
        <v>375040</v>
      </c>
      <c r="E316" s="12" cm="1">
        <f t="array" ref="E316">_xlfn.XLOOKUP(1,('Cleaned Data 2020 - 2024'!$B:$B=A316)*('Cleaned Data 2020 - 2024'!$K:$K=$E$173),'Cleaned Data 2020 - 2024'!$D:$D)</f>
        <v>349520</v>
      </c>
      <c r="F316" s="12" cm="1">
        <f t="array" ref="F316">_xlfn.XLOOKUP(1,('Cleaned Data 2020 - 2024'!$B:$B=A316)*('Cleaned Data 2020 - 2024'!$K:$K=$F$173),'Cleaned Data 2020 - 2024'!$D:$D)</f>
        <v>342100</v>
      </c>
      <c r="G316" s="27">
        <f t="shared" si="14"/>
        <v>-11700</v>
      </c>
      <c r="H316" s="28">
        <f t="shared" si="15"/>
        <v>111</v>
      </c>
    </row>
    <row r="317" spans="1:8" hidden="1" x14ac:dyDescent="0.3">
      <c r="A317" s="23" t="s">
        <v>156</v>
      </c>
      <c r="B317" s="12" cm="1">
        <f t="array" ref="B317">_xlfn.XLOOKUP(1,('Cleaned Data 2020 - 2024'!$B:$B=Calculations!A317)*('Cleaned Data 2020 - 2024'!$K:$K=$B$173),'Cleaned Data 2020 - 2024'!$D:$D)</f>
        <v>352740</v>
      </c>
      <c r="C317" s="12" cm="1">
        <f t="array" ref="C317">_xlfn.XLOOKUP(1,('Cleaned Data 2020 - 2024'!B:B=A317)*('Cleaned Data 2020 - 2024'!K:K=$C$173),'Cleaned Data 2020 - 2024'!D:D)</f>
        <v>365790</v>
      </c>
      <c r="D317" s="12" cm="1">
        <f t="array" ref="D317">_xlfn.XLOOKUP(1,('Cleaned Data 2020 - 2024'!$B:$B=$A317)*('Cleaned Data 2020 - 2024'!$K:$K=$D$173),'Cleaned Data 2020 - 2024'!$D:$D)</f>
        <v>419690</v>
      </c>
      <c r="E317" s="12">
        <f>AVERAGE(B317:D317)</f>
        <v>379406.66666666669</v>
      </c>
      <c r="F317" s="12" cm="1">
        <f t="array" ref="F317">_xlfn.XLOOKUP(1,('Cleaned Data 2020 - 2024'!$B:$B=A317)*('Cleaned Data 2020 - 2024'!$K:$K=$F$173),'Cleaned Data 2020 - 2024'!$D:$D)</f>
        <v>356100</v>
      </c>
      <c r="G317" s="27">
        <f t="shared" si="14"/>
        <v>3360</v>
      </c>
      <c r="H317" s="28">
        <f t="shared" si="15"/>
        <v>71</v>
      </c>
    </row>
    <row r="318" spans="1:8" hidden="1" x14ac:dyDescent="0.3">
      <c r="A318" s="23" t="s">
        <v>148</v>
      </c>
      <c r="B318" s="12" cm="1">
        <f t="array" ref="B318">_xlfn.XLOOKUP(1,('Cleaned Data 2020 - 2024'!$B:$B=Calculations!A318)*('Cleaned Data 2020 - 2024'!$K:$K=$B$173),'Cleaned Data 2020 - 2024'!$D:$D)</f>
        <v>347890</v>
      </c>
      <c r="C318" s="12" cm="1">
        <f t="array" ref="C318">_xlfn.XLOOKUP(1,('Cleaned Data 2020 - 2024'!B:B=A318)*('Cleaned Data 2020 - 2024'!K:K=$C$173),'Cleaned Data 2020 - 2024'!D:D)</f>
        <v>346650</v>
      </c>
      <c r="D318" s="12" cm="1">
        <f t="array" ref="D318">_xlfn.XLOOKUP(1,('Cleaned Data 2020 - 2024'!$B:$B=$A318)*('Cleaned Data 2020 - 2024'!$K:$K=$D$173),'Cleaned Data 2020 - 2024'!$D:$D)</f>
        <v>347110</v>
      </c>
      <c r="E318" s="12" cm="1">
        <f t="array" ref="E318">_xlfn.XLOOKUP(1,('Cleaned Data 2020 - 2024'!$B:$B=A318)*('Cleaned Data 2020 - 2024'!$K:$K=$E$173),'Cleaned Data 2020 - 2024'!$D:$D)</f>
        <v>343530</v>
      </c>
      <c r="F318" s="12" cm="1">
        <f t="array" ref="F318">_xlfn.XLOOKUP(1,('Cleaned Data 2020 - 2024'!$B:$B=A318)*('Cleaned Data 2020 - 2024'!$K:$K=$F$173),'Cleaned Data 2020 - 2024'!$D:$D)</f>
        <v>338340</v>
      </c>
      <c r="G318" s="27">
        <f t="shared" si="14"/>
        <v>-9550</v>
      </c>
      <c r="H318" s="28">
        <f t="shared" si="15"/>
        <v>106</v>
      </c>
    </row>
    <row r="319" spans="1:8" hidden="1" x14ac:dyDescent="0.3">
      <c r="A319" s="23" t="s">
        <v>166</v>
      </c>
      <c r="B319" s="12" cm="1">
        <f t="array" ref="B319">_xlfn.XLOOKUP(1,('Cleaned Data 2020 - 2024'!$B:$B=Calculations!A319)*('Cleaned Data 2020 - 2024'!$K:$K=$B$173),'Cleaned Data 2020 - 2024'!$D:$D)</f>
        <v>347620</v>
      </c>
      <c r="C319" s="12" cm="1">
        <f t="array" ref="C319">_xlfn.XLOOKUP(1,('Cleaned Data 2020 - 2024'!B:B=A319)*('Cleaned Data 2020 - 2024'!K:K=$C$173),'Cleaned Data 2020 - 2024'!D:D)</f>
        <v>362320</v>
      </c>
      <c r="D319" s="12" cm="1">
        <f t="array" ref="D319">_xlfn.XLOOKUP(1,('Cleaned Data 2020 - 2024'!$B:$B=$A319)*('Cleaned Data 2020 - 2024'!$K:$K=$D$173),'Cleaned Data 2020 - 2024'!$D:$D)</f>
        <v>370240</v>
      </c>
      <c r="E319" s="12" cm="1">
        <f t="array" ref="E319">_xlfn.XLOOKUP(1,('Cleaned Data 2020 - 2024'!$B:$B=A319)*('Cleaned Data 2020 - 2024'!$K:$K=$E$173),'Cleaned Data 2020 - 2024'!$D:$D)</f>
        <v>369380</v>
      </c>
      <c r="F319" s="12" cm="1">
        <f t="array" ref="F319">_xlfn.XLOOKUP(1,('Cleaned Data 2020 - 2024'!$B:$B=A319)*('Cleaned Data 2020 - 2024'!$K:$K=$F$173),'Cleaned Data 2020 - 2024'!$D:$D)</f>
        <v>378060</v>
      </c>
      <c r="G319" s="27">
        <f t="shared" si="14"/>
        <v>30440</v>
      </c>
      <c r="H319" s="28">
        <f t="shared" si="15"/>
        <v>24</v>
      </c>
    </row>
    <row r="320" spans="1:8" hidden="1" x14ac:dyDescent="0.3">
      <c r="A320" s="23" t="s">
        <v>168</v>
      </c>
      <c r="B320" s="12" cm="1">
        <f t="array" ref="B320">_xlfn.XLOOKUP(1,('Cleaned Data 2020 - 2024'!$B:$B=Calculations!A320)*('Cleaned Data 2020 - 2024'!$K:$K=$B$173),'Cleaned Data 2020 - 2024'!$D:$D)</f>
        <v>347590</v>
      </c>
      <c r="C320" s="12">
        <f>AVERAGE(B320)</f>
        <v>347590</v>
      </c>
      <c r="D320" s="12">
        <f>AVERAGE(C320)</f>
        <v>347590</v>
      </c>
      <c r="E320" s="12">
        <f>AVERAGE(D320)</f>
        <v>347590</v>
      </c>
      <c r="F320" s="12">
        <f>AVERAGE(E320)</f>
        <v>347590</v>
      </c>
      <c r="G320" s="27">
        <f t="shared" si="14"/>
        <v>0</v>
      </c>
      <c r="H320" s="28">
        <f t="shared" si="15"/>
        <v>82</v>
      </c>
    </row>
    <row r="321" spans="1:8" hidden="1" x14ac:dyDescent="0.3">
      <c r="A321" s="23" t="s">
        <v>174</v>
      </c>
      <c r="B321" s="12" cm="1">
        <f t="array" ref="B321">_xlfn.XLOOKUP(1,('Cleaned Data 2020 - 2024'!$B:$B=Calculations!A321)*('Cleaned Data 2020 - 2024'!$K:$K=$B$173),'Cleaned Data 2020 - 2024'!$D:$D)</f>
        <v>331230</v>
      </c>
      <c r="C321" s="12" cm="1">
        <f t="array" ref="C321">_xlfn.XLOOKUP(1,('Cleaned Data 2020 - 2024'!B:B=A321)*('Cleaned Data 2020 - 2024'!K:K=$C$173),'Cleaned Data 2020 - 2024'!D:D)</f>
        <v>341470</v>
      </c>
      <c r="D321" s="12" cm="1">
        <f t="array" ref="D321">_xlfn.XLOOKUP(1,('Cleaned Data 2020 - 2024'!$B:$B=$A321)*('Cleaned Data 2020 - 2024'!$K:$K=$D$173),'Cleaned Data 2020 - 2024'!$D:$D)</f>
        <v>326820</v>
      </c>
      <c r="E321" s="12">
        <f>AVERAGE(B321:D321)</f>
        <v>333173.33333333331</v>
      </c>
      <c r="F321" s="12">
        <f>AVERAGE(C321:E321)</f>
        <v>333821.11111111107</v>
      </c>
      <c r="G321" s="27">
        <f t="shared" si="14"/>
        <v>2591.1111111110658</v>
      </c>
      <c r="H321" s="28">
        <f t="shared" si="15"/>
        <v>76</v>
      </c>
    </row>
    <row r="322" spans="1:8" hidden="1" x14ac:dyDescent="0.3">
      <c r="A322" s="23" t="s">
        <v>135</v>
      </c>
      <c r="B322" s="12" cm="1">
        <f t="array" ref="B322">_xlfn.XLOOKUP(1,('Cleaned Data 2020 - 2024'!$B:$B=Calculations!A322)*('Cleaned Data 2020 - 2024'!$K:$K=$B$173),'Cleaned Data 2020 - 2024'!$D:$D)</f>
        <v>329920</v>
      </c>
      <c r="C322" s="12" cm="1">
        <f t="array" ref="C322">_xlfn.XLOOKUP(1,('Cleaned Data 2020 - 2024'!B:B=A322)*('Cleaned Data 2020 - 2024'!K:K=$C$173),'Cleaned Data 2020 - 2024'!D:D)</f>
        <v>314480</v>
      </c>
      <c r="D322" s="12" cm="1">
        <f t="array" ref="D322">_xlfn.XLOOKUP(1,('Cleaned Data 2020 - 2024'!$B:$B=$A322)*('Cleaned Data 2020 - 2024'!$K:$K=$D$173),'Cleaned Data 2020 - 2024'!$D:$D)</f>
        <v>299510</v>
      </c>
      <c r="E322" s="12" cm="1">
        <f t="array" ref="E322">_xlfn.XLOOKUP(1,('Cleaned Data 2020 - 2024'!$B:$B=A322)*('Cleaned Data 2020 - 2024'!$K:$K=$E$173),'Cleaned Data 2020 - 2024'!$D:$D)</f>
        <v>320350</v>
      </c>
      <c r="F322" s="12" cm="1">
        <f t="array" ref="F322">_xlfn.XLOOKUP(1,('Cleaned Data 2020 - 2024'!$B:$B=A322)*('Cleaned Data 2020 - 2024'!$K:$K=$F$173),'Cleaned Data 2020 - 2024'!$D:$D)</f>
        <v>334110</v>
      </c>
      <c r="G322" s="27">
        <f t="shared" si="14"/>
        <v>4190</v>
      </c>
      <c r="H322" s="28">
        <f t="shared" si="15"/>
        <v>68</v>
      </c>
    </row>
    <row r="323" spans="1:8" hidden="1" x14ac:dyDescent="0.3">
      <c r="A323" s="23" t="s">
        <v>180</v>
      </c>
      <c r="B323" s="12" cm="1">
        <f t="array" ref="B323">_xlfn.XLOOKUP(1,('Cleaned Data 2020 - 2024'!$B:$B=Calculations!A323)*('Cleaned Data 2020 - 2024'!$K:$K=$B$173),'Cleaned Data 2020 - 2024'!$D:$D)</f>
        <v>281660</v>
      </c>
      <c r="C323" s="12">
        <f>AVERAGE(B323)</f>
        <v>281660</v>
      </c>
      <c r="D323" s="12">
        <f>AVERAGE(C323)</f>
        <v>281660</v>
      </c>
      <c r="E323" s="12">
        <f>AVERAGE(D323)</f>
        <v>281660</v>
      </c>
      <c r="F323" s="12">
        <f>AVERAGE(E323)</f>
        <v>281660</v>
      </c>
      <c r="G323" s="27">
        <f t="shared" si="14"/>
        <v>0</v>
      </c>
      <c r="H323" s="28">
        <f t="shared" si="15"/>
        <v>82</v>
      </c>
    </row>
    <row r="324" spans="1:8" hidden="1" x14ac:dyDescent="0.3">
      <c r="A324" s="23" t="s">
        <v>173</v>
      </c>
      <c r="B324" s="12" cm="1">
        <f t="array" ref="B324">_xlfn.XLOOKUP(1,('Cleaned Data 2020 - 2024'!$B:$B=Calculations!A324)*('Cleaned Data 2020 - 2024'!$K:$K=$B$173),'Cleaned Data 2020 - 2024'!$D:$D)</f>
        <v>256690</v>
      </c>
      <c r="C324" s="12" cm="1">
        <f t="array" ref="C324">_xlfn.XLOOKUP(1,('Cleaned Data 2020 - 2024'!B:B=A324)*('Cleaned Data 2020 - 2024'!K:K=$C$173),'Cleaned Data 2020 - 2024'!D:D)</f>
        <v>252290</v>
      </c>
      <c r="D324" s="12" cm="1">
        <f t="array" ref="D324">_xlfn.XLOOKUP(1,('Cleaned Data 2020 - 2024'!$B:$B=$A324)*('Cleaned Data 2020 - 2024'!$K:$K=$D$173),'Cleaned Data 2020 - 2024'!$D:$D)</f>
        <v>240380</v>
      </c>
      <c r="E324" s="12" cm="1">
        <f t="array" ref="E324">_xlfn.XLOOKUP(1,('Cleaned Data 2020 - 2024'!$B:$B=A324)*('Cleaned Data 2020 - 2024'!$K:$K=$E$173),'Cleaned Data 2020 - 2024'!$D:$D)</f>
        <v>185900</v>
      </c>
      <c r="F324" s="12" cm="1">
        <f t="array" ref="F324">_xlfn.XLOOKUP(1,('Cleaned Data 2020 - 2024'!$B:$B=A324)*('Cleaned Data 2020 - 2024'!$K:$K=$F$173),'Cleaned Data 2020 - 2024'!$D:$D)</f>
        <v>172100</v>
      </c>
      <c r="G324" s="27">
        <f t="shared" si="14"/>
        <v>-84590</v>
      </c>
      <c r="H324" s="28">
        <f t="shared" si="15"/>
        <v>151</v>
      </c>
    </row>
    <row r="325" spans="1:8" hidden="1" x14ac:dyDescent="0.3">
      <c r="A325" s="23" t="s">
        <v>191</v>
      </c>
      <c r="B325" s="12">
        <f>AVERAGE(C325,D325,E325,F325)</f>
        <v>523072.5</v>
      </c>
      <c r="C325" s="12" cm="1">
        <f t="array" ref="C325">_xlfn.XLOOKUP(1,('Cleaned Data 2020 - 2024'!B:B=A325)*('Cleaned Data 2020 - 2024'!K:K=$C$173),'Cleaned Data 2020 - 2024'!D:D)</f>
        <v>510120</v>
      </c>
      <c r="D325" s="12" cm="1">
        <f t="array" ref="D325">_xlfn.XLOOKUP(1,('Cleaned Data 2020 - 2024'!$B:$B=$A325)*('Cleaned Data 2020 - 2024'!$K:$K=$D$173),'Cleaned Data 2020 - 2024'!$D:$D)</f>
        <v>519900</v>
      </c>
      <c r="E325" s="12" cm="1">
        <f t="array" ref="E325">_xlfn.XLOOKUP(1,('Cleaned Data 2020 - 2024'!$B:$B=A325)*('Cleaned Data 2020 - 2024'!$K:$K=$E$173),'Cleaned Data 2020 - 2024'!$D:$D)</f>
        <v>525360</v>
      </c>
      <c r="F325" s="12" cm="1">
        <f t="array" ref="F325">_xlfn.XLOOKUP(1,('Cleaned Data 2020 - 2024'!$B:$B=A325)*('Cleaned Data 2020 - 2024'!$K:$K=$F$173),'Cleaned Data 2020 - 2024'!$D:$D)</f>
        <v>536910</v>
      </c>
      <c r="G325" s="27">
        <f t="shared" si="14"/>
        <v>13837.5</v>
      </c>
      <c r="H325" s="28">
        <f t="shared" si="15"/>
        <v>52</v>
      </c>
    </row>
    <row r="326" spans="1:8" hidden="1" x14ac:dyDescent="0.3">
      <c r="A326" s="23" t="s">
        <v>193</v>
      </c>
      <c r="B326" s="12" cm="1">
        <f t="array" ref="B326">_xlfn.XLOOKUP(1,('Cleaned Data 2020 - 2024'!$B:$B=Calculations!A326)*('Cleaned Data 2020 - 2024'!$K:$K=$B$173),'Cleaned Data 2020 - 2024'!$D:$D,"")</f>
        <v>691090</v>
      </c>
      <c r="C326" s="12" cm="1">
        <f t="array" ref="C326">_xlfn.XLOOKUP(1,('Cleaned Data 2020 - 2024'!B:B=A326)*('Cleaned Data 2020 - 2024'!K:K=$C$173),'Cleaned Data 2020 - 2024'!D:D)</f>
        <v>696470</v>
      </c>
      <c r="D326" s="12" cm="1">
        <f t="array" ref="D326">_xlfn.XLOOKUP(1,('Cleaned Data 2020 - 2024'!$B:$B=$A326)*('Cleaned Data 2020 - 2024'!$K:$K=$D$173),'Cleaned Data 2020 - 2024'!$D:$D)</f>
        <v>691980</v>
      </c>
      <c r="E326" s="12" cm="1">
        <f t="array" ref="E326">_xlfn.XLOOKUP(1,('Cleaned Data 2020 - 2024'!$B:$B=A326)*('Cleaned Data 2020 - 2024'!$K:$K=$E$173),'Cleaned Data 2020 - 2024'!$D:$D)</f>
        <v>684520</v>
      </c>
      <c r="F326" s="12" cm="1">
        <f t="array" ref="F326">_xlfn.XLOOKUP(1,('Cleaned Data 2020 - 2024'!$B:$B=A326)*('Cleaned Data 2020 - 2024'!$K:$K=$F$173),'Cleaned Data 2020 - 2024'!$D:$D)</f>
        <v>682180</v>
      </c>
      <c r="G326" s="27">
        <f t="shared" si="14"/>
        <v>-8910</v>
      </c>
      <c r="H326" s="28">
        <f t="shared" si="15"/>
        <v>104</v>
      </c>
    </row>
    <row r="327" spans="1:8" hidden="1" x14ac:dyDescent="0.3">
      <c r="A327" s="23" t="s">
        <v>192</v>
      </c>
      <c r="B327" s="12" cm="1">
        <f t="array" ref="B327">_xlfn.XLOOKUP(1,('Cleaned Data 2020 - 2024'!$B:$B=$A327)*('Cleaned Data 2020 - 2024'!$K:$K=$D$173),'Cleaned Data 2020 - 2024'!$D:$D)</f>
        <v>507520</v>
      </c>
      <c r="C327" s="12" cm="1">
        <f t="array" ref="C327">_xlfn.XLOOKUP(1,('Cleaned Data 2020 - 2024'!$B:$B=$A327)*('Cleaned Data 2020 - 2024'!$K:$K=$D$173),'Cleaned Data 2020 - 2024'!$D:$D)</f>
        <v>507520</v>
      </c>
      <c r="D327" s="12" cm="1">
        <f t="array" ref="D327">_xlfn.XLOOKUP(1,('Cleaned Data 2020 - 2024'!$B:$B=$A327)*('Cleaned Data 2020 - 2024'!$K:$K=$D$173),'Cleaned Data 2020 - 2024'!$D:$D)</f>
        <v>507520</v>
      </c>
      <c r="E327" s="12" cm="1">
        <f t="array" ref="E327">_xlfn.XLOOKUP(1,('Cleaned Data 2020 - 2024'!$B:$B=$A327)*('Cleaned Data 2020 - 2024'!$K:$K=$D$173),'Cleaned Data 2020 - 2024'!$D:$D)</f>
        <v>507520</v>
      </c>
      <c r="F327" s="12" cm="1">
        <f t="array" ref="F327">_xlfn.XLOOKUP(1,('Cleaned Data 2020 - 2024'!$B:$B=$A327)*('Cleaned Data 2020 - 2024'!$K:$K=$D$173),'Cleaned Data 2020 - 2024'!$D:$D)</f>
        <v>507520</v>
      </c>
      <c r="G327" s="27">
        <f t="shared" si="14"/>
        <v>0</v>
      </c>
      <c r="H327" s="28">
        <f t="shared" si="15"/>
        <v>82</v>
      </c>
    </row>
    <row r="328" spans="1:8" hidden="1" x14ac:dyDescent="0.3">
      <c r="A328" s="23" t="s">
        <v>195</v>
      </c>
      <c r="B328" s="12">
        <f>AVERAGE(E328)</f>
        <v>490780</v>
      </c>
      <c r="C328" s="12">
        <f>AVERAGE(B328)</f>
        <v>490780</v>
      </c>
      <c r="D328" s="12">
        <f>AVERAGE(C328)</f>
        <v>490780</v>
      </c>
      <c r="E328" s="12" cm="1">
        <f t="array" ref="E328">_xlfn.XLOOKUP(1,('Cleaned Data 2020 - 2024'!$B:$B=A328)*('Cleaned Data 2020 - 2024'!$K:$K=$E$173),'Cleaned Data 2020 - 2024'!$D:$D)</f>
        <v>490780</v>
      </c>
      <c r="F328" s="12">
        <f>AVERAGE(B328:E328)</f>
        <v>490780</v>
      </c>
      <c r="G328" s="27">
        <f t="shared" si="14"/>
        <v>0</v>
      </c>
      <c r="H328" s="28">
        <f t="shared" si="15"/>
        <v>82</v>
      </c>
    </row>
    <row r="329" spans="1:8" hidden="1" x14ac:dyDescent="0.3">
      <c r="A329" s="23" t="s">
        <v>196</v>
      </c>
      <c r="B329" s="12">
        <f>AVERAGE(E329:F329)</f>
        <v>479440</v>
      </c>
      <c r="C329" s="12">
        <f>AVERAGE(F329:G329)</f>
        <v>257810</v>
      </c>
      <c r="D329" s="12">
        <f>AVERAGE(B329:C329,F329)</f>
        <v>411593.33333333331</v>
      </c>
      <c r="E329" s="12" cm="1">
        <f t="array" ref="E329">_xlfn.XLOOKUP(1,('Cleaned Data 2020 - 2024'!$B:$B=A329)*('Cleaned Data 2020 - 2024'!$K:$K=$E$173),'Cleaned Data 2020 - 2024'!$D:$D)</f>
        <v>461350</v>
      </c>
      <c r="F329" s="12" cm="1">
        <f t="array" ref="F329">_xlfn.XLOOKUP(1,('Cleaned Data 2020 - 2024'!$B:$B=A329)*('Cleaned Data 2020 - 2024'!$K:$K=$F$173),'Cleaned Data 2020 - 2024'!$D:$D)</f>
        <v>497530</v>
      </c>
      <c r="G329" s="27">
        <f t="shared" si="14"/>
        <v>18090</v>
      </c>
      <c r="H329" s="28">
        <f t="shared" si="15"/>
        <v>45</v>
      </c>
    </row>
  </sheetData>
  <autoFilter ref="A173:H329" xr:uid="{BCF0DDBE-19F0-492A-A3CC-D2DB5DEE6B5E}">
    <filterColumn colId="7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</autoFilter>
  <mergeCells count="1">
    <mergeCell ref="B172:F17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51E8-808B-4253-879F-6DE2D8CE291C}">
  <dimension ref="A1:R176"/>
  <sheetViews>
    <sheetView tabSelected="1" topLeftCell="A10" workbookViewId="0">
      <selection activeCell="F2" sqref="F2"/>
    </sheetView>
  </sheetViews>
  <sheetFormatPr defaultRowHeight="14.4" x14ac:dyDescent="0.3"/>
  <cols>
    <col min="1" max="1" width="34.21875" bestFit="1" customWidth="1"/>
    <col min="2" max="2" width="28.44140625" bestFit="1" customWidth="1"/>
    <col min="4" max="4" width="34.21875" bestFit="1" customWidth="1"/>
    <col min="5" max="5" width="32.88671875" bestFit="1" customWidth="1"/>
    <col min="6" max="6" width="21" bestFit="1" customWidth="1"/>
    <col min="7" max="7" width="21.77734375" bestFit="1" customWidth="1"/>
    <col min="8" max="8" width="19.5546875" bestFit="1" customWidth="1"/>
  </cols>
  <sheetData>
    <row r="1" spans="1:18" x14ac:dyDescent="0.3">
      <c r="A1" s="4" t="s">
        <v>2</v>
      </c>
      <c r="B1" s="15" t="s">
        <v>205</v>
      </c>
      <c r="C1" s="15" t="s">
        <v>214</v>
      </c>
      <c r="E1" s="4" t="s">
        <v>2</v>
      </c>
      <c r="F1" s="4" t="s">
        <v>215</v>
      </c>
      <c r="G1" s="20" t="s">
        <v>0</v>
      </c>
      <c r="R1" s="13" t="s">
        <v>225</v>
      </c>
    </row>
    <row r="2" spans="1:18" x14ac:dyDescent="0.3">
      <c r="A2" s="13" t="s">
        <v>12</v>
      </c>
      <c r="B2" s="11">
        <f>AVERAGEIF('Cleaned Data 2020 - 2024'!C:C,'Calculations 2'!A2,'Cleaned Data 2020 - 2024'!E:E)</f>
        <v>854795.09174311929</v>
      </c>
      <c r="C2">
        <f>_xlfn.RANK.EQ(B2,$B$2:$B$11,0)</f>
        <v>2</v>
      </c>
      <c r="E2" s="13" t="s">
        <v>12</v>
      </c>
      <c r="F2" s="18">
        <f>AVERAGEIF('Cleaned Data 2020 - 2024'!C:C,'Calculations 2'!E2,'Cleaned Data 2020 - 2024'!L:L)</f>
        <v>256937.84633027524</v>
      </c>
      <c r="G2">
        <f t="shared" ref="G2:G11" si="0">_xlfn.RANK.EQ(F2,$F$2:$F$11,0)</f>
        <v>2</v>
      </c>
    </row>
    <row r="3" spans="1:18" x14ac:dyDescent="0.3">
      <c r="A3" s="13" t="s">
        <v>17</v>
      </c>
      <c r="B3" s="11">
        <f>AVERAGEIF('Cleaned Data 2020 - 2024'!C:C,'Calculations 2'!A3,'Cleaned Data 2020 - 2024'!E:E)</f>
        <v>855837.1</v>
      </c>
      <c r="C3">
        <f t="shared" ref="C3:C11" si="1">_xlfn.RANK.EQ(B3,$B$2:$B$11,0)</f>
        <v>1</v>
      </c>
      <c r="E3" s="13" t="s">
        <v>17</v>
      </c>
      <c r="F3" s="18">
        <f>AVERAGEIF('Cleaned Data 2020 - 2024'!C:C,'Calculations 2'!E3,'Cleaned Data 2020 - 2024'!L:L)</f>
        <v>258267.47500000001</v>
      </c>
      <c r="G3">
        <f t="shared" si="0"/>
        <v>1</v>
      </c>
    </row>
    <row r="4" spans="1:18" x14ac:dyDescent="0.3">
      <c r="A4" s="13" t="s">
        <v>24</v>
      </c>
      <c r="B4" s="11">
        <f>AVERAGEIF('Cleaned Data 2020 - 2024'!C:C,'Calculations 2'!A4,'Cleaned Data 2020 - 2024'!E:E)</f>
        <v>651471.4444444445</v>
      </c>
      <c r="C4">
        <f t="shared" si="1"/>
        <v>5</v>
      </c>
      <c r="E4" s="13" t="s">
        <v>24</v>
      </c>
      <c r="F4" s="18">
        <f>AVERAGEIF('Cleaned Data 2020 - 2024'!C:C,'Calculations 2'!E4,'Cleaned Data 2020 - 2024'!L:L)</f>
        <v>193074.88611111112</v>
      </c>
      <c r="G4">
        <f t="shared" si="0"/>
        <v>6</v>
      </c>
    </row>
    <row r="5" spans="1:18" x14ac:dyDescent="0.3">
      <c r="A5" s="13" t="s">
        <v>26</v>
      </c>
      <c r="B5" s="11">
        <f>AVERAGEIF('Cleaned Data 2020 - 2024'!C:C,'Calculations 2'!A5,'Cleaned Data 2020 - 2024'!E:E)</f>
        <v>590427.85714285716</v>
      </c>
      <c r="C5">
        <f t="shared" si="1"/>
        <v>8</v>
      </c>
      <c r="E5" s="13" t="s">
        <v>26</v>
      </c>
      <c r="F5" s="18">
        <f>AVERAGEIF('Cleaned Data 2020 - 2024'!C:C,'Calculations 2'!E5,'Cleaned Data 2020 - 2024'!L:L)</f>
        <v>186341.13010204083</v>
      </c>
      <c r="G5">
        <f t="shared" si="0"/>
        <v>8</v>
      </c>
    </row>
    <row r="6" spans="1:18" x14ac:dyDescent="0.3">
      <c r="A6" s="13" t="s">
        <v>47</v>
      </c>
      <c r="B6" s="11">
        <f>AVERAGEIF('Cleaned Data 2020 - 2024'!C:C,'Calculations 2'!A6,'Cleaned Data 2020 - 2024'!E:E)</f>
        <v>710406.94594594592</v>
      </c>
      <c r="C6">
        <f t="shared" si="1"/>
        <v>4</v>
      </c>
      <c r="E6" s="13" t="s">
        <v>47</v>
      </c>
      <c r="F6" s="18">
        <f>AVERAGEIF('Cleaned Data 2020 - 2024'!C:C,'Calculations 2'!E6,'Cleaned Data 2020 - 2024'!L:L)</f>
        <v>216027.77364864864</v>
      </c>
      <c r="G6">
        <f t="shared" si="0"/>
        <v>4</v>
      </c>
    </row>
    <row r="7" spans="1:18" x14ac:dyDescent="0.3">
      <c r="A7" s="13" t="s">
        <v>55</v>
      </c>
      <c r="B7" s="11">
        <f>AVERAGEIF('Cleaned Data 2020 - 2024'!C:C,'Calculations 2'!A7,'Cleaned Data 2020 - 2024'!E:E)</f>
        <v>738020.83333333337</v>
      </c>
      <c r="C7">
        <f t="shared" si="1"/>
        <v>3</v>
      </c>
      <c r="E7" s="13" t="s">
        <v>55</v>
      </c>
      <c r="F7" s="18">
        <f>AVERAGEIF('Cleaned Data 2020 - 2024'!C:C,'Calculations 2'!E7,'Cleaned Data 2020 - 2024'!L:L)</f>
        <v>220996.03472222222</v>
      </c>
      <c r="G7">
        <f t="shared" si="0"/>
        <v>3</v>
      </c>
    </row>
    <row r="8" spans="1:18" x14ac:dyDescent="0.3">
      <c r="A8" s="13" t="s">
        <v>39</v>
      </c>
      <c r="B8" s="11">
        <f>AVERAGEIF('Cleaned Data 2020 - 2024'!C:C,'Calculations 2'!A8,'Cleaned Data 2020 - 2024'!E:E)</f>
        <v>619993.46341463411</v>
      </c>
      <c r="C8">
        <f t="shared" si="1"/>
        <v>6</v>
      </c>
      <c r="E8" s="13" t="s">
        <v>39</v>
      </c>
      <c r="F8" s="18">
        <f>AVERAGEIF('Cleaned Data 2020 - 2024'!C:C,'Calculations 2'!E8,'Cleaned Data 2020 - 2024'!L:L)</f>
        <v>195404.59146341463</v>
      </c>
      <c r="G8">
        <f t="shared" si="0"/>
        <v>5</v>
      </c>
    </row>
    <row r="9" spans="1:18" x14ac:dyDescent="0.3">
      <c r="A9" s="13" t="s">
        <v>62</v>
      </c>
      <c r="B9" s="11">
        <f>AVERAGEIF('Cleaned Data 2020 - 2024'!C:C,'Calculations 2'!A9,'Cleaned Data 2020 - 2024'!E:E)</f>
        <v>599065.67346938781</v>
      </c>
      <c r="C9">
        <f t="shared" si="1"/>
        <v>7</v>
      </c>
      <c r="E9" s="13" t="s">
        <v>62</v>
      </c>
      <c r="F9" s="18">
        <f>AVERAGEIF('Cleaned Data 2020 - 2024'!C:C,'Calculations 2'!E9,'Cleaned Data 2020 - 2024'!L:L)</f>
        <v>188349.22448979592</v>
      </c>
      <c r="G9">
        <f t="shared" si="0"/>
        <v>7</v>
      </c>
    </row>
    <row r="10" spans="1:18" x14ac:dyDescent="0.3">
      <c r="A10" s="13" t="s">
        <v>90</v>
      </c>
      <c r="B10" s="11">
        <f>AVERAGEIF('Cleaned Data 2020 - 2024'!C:C,'Calculations 2'!A10,'Cleaned Data 2020 - 2024'!E:E)</f>
        <v>367256.23428571428</v>
      </c>
      <c r="C10">
        <f t="shared" si="1"/>
        <v>10</v>
      </c>
      <c r="E10" s="13" t="s">
        <v>90</v>
      </c>
      <c r="F10" s="18">
        <f>AVERAGEIF('Cleaned Data 2020 - 2024'!C:C,'Calculations 2'!E10,'Cleaned Data 2020 - 2024'!L:L)</f>
        <v>118579.07857142857</v>
      </c>
      <c r="G10">
        <f t="shared" si="0"/>
        <v>10</v>
      </c>
    </row>
    <row r="11" spans="1:18" x14ac:dyDescent="0.3">
      <c r="A11" s="13" t="s">
        <v>99</v>
      </c>
      <c r="B11" s="11">
        <f>AVERAGEIF('Cleaned Data 2020 - 2024'!C:C,'Calculations 2'!A11,'Cleaned Data 2020 - 2024'!E:E)</f>
        <v>443632.86666666664</v>
      </c>
      <c r="C11">
        <f t="shared" si="1"/>
        <v>9</v>
      </c>
      <c r="E11" s="13" t="s">
        <v>99</v>
      </c>
      <c r="F11" s="18">
        <f>AVERAGEIF('Cleaned Data 2020 - 2024'!C:C,'Calculations 2'!E11,'Cleaned Data 2020 - 2024'!L:L)</f>
        <v>137294.31666666668</v>
      </c>
      <c r="G11">
        <f t="shared" si="0"/>
        <v>9</v>
      </c>
    </row>
    <row r="12" spans="1:18" x14ac:dyDescent="0.3">
      <c r="D12" s="1"/>
      <c r="E12" s="16"/>
    </row>
    <row r="13" spans="1:18" x14ac:dyDescent="0.3">
      <c r="D13" s="1"/>
      <c r="E13" s="16"/>
    </row>
    <row r="14" spans="1:18" x14ac:dyDescent="0.3">
      <c r="D14" s="1"/>
      <c r="E14" s="16"/>
    </row>
    <row r="15" spans="1:18" x14ac:dyDescent="0.3">
      <c r="A15" s="4" t="s">
        <v>2</v>
      </c>
      <c r="B15" s="15" t="s">
        <v>206</v>
      </c>
      <c r="D15" s="1"/>
      <c r="E15" s="16"/>
    </row>
    <row r="16" spans="1:18" x14ac:dyDescent="0.3">
      <c r="A16" s="13" t="s">
        <v>12</v>
      </c>
      <c r="B16" s="12">
        <f>AVERAGEIF('Cleaned Data 2020 - 2024'!C:C,'Calculations 2'!A16,'Cleaned Data 2020 - 2024'!D:D)</f>
        <v>690886.42201834859</v>
      </c>
      <c r="D16" s="1"/>
      <c r="E16" s="16"/>
    </row>
    <row r="17" spans="1:9" x14ac:dyDescent="0.3">
      <c r="A17" s="13" t="s">
        <v>17</v>
      </c>
      <c r="B17" s="12">
        <f>AVERAGEIF('Cleaned Data 2020 - 2024'!C:C,'Calculations 2'!A17,'Cleaned Data 2020 - 2024'!D:D)</f>
        <v>706776</v>
      </c>
      <c r="D17" s="1"/>
      <c r="E17" s="16"/>
    </row>
    <row r="18" spans="1:9" x14ac:dyDescent="0.3">
      <c r="A18" s="13" t="s">
        <v>24</v>
      </c>
      <c r="B18" s="12">
        <f>AVERAGEIF('Cleaned Data 2020 - 2024'!C:C,'Calculations 2'!A18,'Cleaned Data 2020 - 2024'!D:D)</f>
        <v>517234.55555555556</v>
      </c>
      <c r="D18" s="1"/>
      <c r="E18" s="16"/>
    </row>
    <row r="19" spans="1:9" x14ac:dyDescent="0.3">
      <c r="A19" s="13" t="s">
        <v>26</v>
      </c>
      <c r="B19" s="12">
        <f>AVERAGEIF('Cleaned Data 2020 - 2024'!C:C,'Calculations 2'!A19,'Cleaned Data 2020 - 2024'!D:D)</f>
        <v>598887.85714285716</v>
      </c>
      <c r="D19" s="1"/>
      <c r="E19" s="16"/>
    </row>
    <row r="20" spans="1:9" x14ac:dyDescent="0.3">
      <c r="A20" s="13" t="s">
        <v>47</v>
      </c>
      <c r="B20" s="12">
        <f>AVERAGEIF('Cleaned Data 2020 - 2024'!C:C,'Calculations 2'!A20,'Cleaned Data 2020 - 2024'!D:D)</f>
        <v>597108.78378378379</v>
      </c>
      <c r="D20" s="1"/>
      <c r="E20" s="16"/>
    </row>
    <row r="21" spans="1:9" x14ac:dyDescent="0.3">
      <c r="A21" s="13" t="s">
        <v>55</v>
      </c>
      <c r="B21" s="12">
        <f>AVERAGEIF('Cleaned Data 2020 - 2024'!C:C,'Calculations 2'!A21,'Cleaned Data 2020 - 2024'!D:D)</f>
        <v>572512.5</v>
      </c>
      <c r="D21" s="1"/>
      <c r="E21" s="9" t="s">
        <v>10</v>
      </c>
      <c r="F21" s="10">
        <v>2024</v>
      </c>
    </row>
    <row r="22" spans="1:9" x14ac:dyDescent="0.3">
      <c r="A22" s="13" t="s">
        <v>39</v>
      </c>
      <c r="B22" s="12">
        <f>AVERAGEIF('Cleaned Data 2020 - 2024'!C:C,'Calculations 2'!A22,'Cleaned Data 2020 - 2024'!D:D)</f>
        <v>548149.26829268294</v>
      </c>
      <c r="D22" s="1"/>
      <c r="E22" s="16"/>
    </row>
    <row r="23" spans="1:9" x14ac:dyDescent="0.3">
      <c r="A23" s="13" t="s">
        <v>62</v>
      </c>
      <c r="B23" s="12">
        <f>AVERAGEIF('Cleaned Data 2020 - 2024'!C:C,'Calculations 2'!A23,'Cleaned Data 2020 - 2024'!D:D)</f>
        <v>547345.51020408166</v>
      </c>
      <c r="D23" s="1"/>
      <c r="E23" s="9" t="s">
        <v>197</v>
      </c>
      <c r="F23" t="s">
        <v>220</v>
      </c>
      <c r="G23" t="s">
        <v>221</v>
      </c>
      <c r="H23" s="37" t="s">
        <v>222</v>
      </c>
      <c r="I23" t="s">
        <v>226</v>
      </c>
    </row>
    <row r="24" spans="1:9" x14ac:dyDescent="0.3">
      <c r="A24" s="13" t="s">
        <v>90</v>
      </c>
      <c r="B24" s="12">
        <f>AVERAGEIF('Cleaned Data 2020 - 2024'!C:C,'Calculations 2'!A24,'Cleaned Data 2020 - 2024'!D:D)</f>
        <v>443474.17142857146</v>
      </c>
      <c r="D24" s="1"/>
      <c r="E24" s="10" t="s">
        <v>47</v>
      </c>
      <c r="F24" s="1">
        <v>674330</v>
      </c>
      <c r="G24" s="1">
        <v>530420</v>
      </c>
      <c r="H24">
        <f>GETPIVOTDATA("Highest Happiness",$E$23,"Regional indicator","Central and Eastern Europe")-GETPIVOTDATA("Lowest Happiness",$E$23,"Regional indicator","Central and Eastern Europe")</f>
        <v>143910</v>
      </c>
    </row>
    <row r="25" spans="1:9" x14ac:dyDescent="0.3">
      <c r="A25" s="13" t="s">
        <v>99</v>
      </c>
      <c r="B25" s="12">
        <f>AVERAGEIF('Cleaned Data 2020 - 2024'!C:C,'Calculations 2'!A25,'Cleaned Data 2020 - 2024'!D:D)</f>
        <v>418413.66666666669</v>
      </c>
      <c r="D25" s="1"/>
      <c r="E25" s="10" t="s">
        <v>62</v>
      </c>
      <c r="F25" s="1">
        <v>619500</v>
      </c>
      <c r="G25" s="1">
        <v>487300</v>
      </c>
      <c r="H25">
        <f>GETPIVOTDATA("Highest Happiness",$E$23,"Regional indicator","Commonwealth of Independent States")-GETPIVOTDATA("Lowest Happiness",$E$23,"Regional indicator","Commonwealth of Independent States")</f>
        <v>132200</v>
      </c>
    </row>
    <row r="26" spans="1:9" x14ac:dyDescent="0.3">
      <c r="D26" s="1"/>
      <c r="E26" s="10" t="s">
        <v>55</v>
      </c>
      <c r="F26" s="1">
        <v>650350</v>
      </c>
      <c r="G26" s="1">
        <v>513890</v>
      </c>
      <c r="H26">
        <f>GETPIVOTDATA("Highest Happiness",$E$23,"Regional indicator","East Asia")-GETPIVOTDATA("Lowest Happiness",$E$23,"Regional indicator","East Asia")</f>
        <v>136460</v>
      </c>
    </row>
    <row r="27" spans="1:9" x14ac:dyDescent="0.3">
      <c r="D27" s="1"/>
      <c r="E27" s="10" t="s">
        <v>26</v>
      </c>
      <c r="F27" s="1">
        <v>695540</v>
      </c>
      <c r="G27" s="1">
        <v>560670</v>
      </c>
      <c r="H27">
        <f>GETPIVOTDATA("Highest Happiness",$E$23,"Regional indicator","Latin America and Caribbean")-GETPIVOTDATA("Lowest Happiness",$E$23,"Regional indicator","Latin America and Caribbean")</f>
        <v>134870</v>
      </c>
    </row>
    <row r="28" spans="1:9" x14ac:dyDescent="0.3">
      <c r="A28" s="4" t="s">
        <v>2</v>
      </c>
      <c r="B28" s="4" t="s">
        <v>207</v>
      </c>
      <c r="D28" s="1"/>
      <c r="E28" s="10" t="s">
        <v>24</v>
      </c>
      <c r="F28" s="1">
        <v>734110</v>
      </c>
      <c r="G28" s="1">
        <v>270650</v>
      </c>
      <c r="H28">
        <f>GETPIVOTDATA("Highest Happiness",$E$23,"Regional indicator","Middle East and North Africa")-GETPIVOTDATA("Lowest Happiness",$E$23,"Regional indicator","Middle East and North Africa")</f>
        <v>463460</v>
      </c>
    </row>
    <row r="29" spans="1:9" x14ac:dyDescent="0.3">
      <c r="A29" s="13" t="s">
        <v>12</v>
      </c>
      <c r="B29" s="12">
        <f>AVERAGEIF('Cleaned Data 2020 - 2024'!C:C,'Calculations 2'!A29,'Cleaned Data 2020 - 2024'!J:J)</f>
        <v>50462.431192660551</v>
      </c>
      <c r="D29" s="1"/>
      <c r="E29" s="10" t="s">
        <v>17</v>
      </c>
      <c r="F29" s="1">
        <v>705690</v>
      </c>
      <c r="G29" s="1">
        <v>672480</v>
      </c>
      <c r="H29">
        <f>GETPIVOTDATA("Highest Happiness",$E$23,"Regional indicator","North America and ANZ")-GETPIVOTDATA("Lowest Happiness",$E$23,"Regional indicator","North America and ANZ")</f>
        <v>33210</v>
      </c>
    </row>
    <row r="30" spans="1:9" x14ac:dyDescent="0.3">
      <c r="A30" s="13" t="s">
        <v>17</v>
      </c>
      <c r="B30" s="12">
        <f>AVERAGEIF('Cleaned Data 2020 - 2024'!C:C,'Calculations 2'!A30,'Cleaned Data 2020 - 2024'!J:J)</f>
        <v>47932.1</v>
      </c>
      <c r="D30" s="1"/>
      <c r="E30" s="10" t="s">
        <v>99</v>
      </c>
      <c r="F30" s="1">
        <v>515840</v>
      </c>
      <c r="G30" s="1">
        <v>172100</v>
      </c>
      <c r="H30">
        <f>GETPIVOTDATA("Highest Happiness",$E$23,"Regional indicator","South Asia")-GETPIVOTDATA("Lowest Happiness",$E$23,"Regional indicator","South Asia")</f>
        <v>343740</v>
      </c>
    </row>
    <row r="31" spans="1:9" x14ac:dyDescent="0.3">
      <c r="A31" s="13" t="s">
        <v>24</v>
      </c>
      <c r="B31" s="12">
        <f>AVERAGEIF('Cleaned Data 2020 - 2024'!C:C,'Calculations 2'!A31,'Cleaned Data 2020 - 2024'!J:J)</f>
        <v>56931.133333333331</v>
      </c>
      <c r="D31" s="1"/>
      <c r="E31" s="10" t="s">
        <v>39</v>
      </c>
      <c r="F31" s="1">
        <v>652280</v>
      </c>
      <c r="G31" s="1">
        <v>434070</v>
      </c>
      <c r="H31">
        <f>GETPIVOTDATA("Highest Happiness",$E$23,"Regional indicator","Southeast Asia")-GETPIVOTDATA("Lowest Happiness",$E$23,"Regional indicator","Southeast Asia")</f>
        <v>218210</v>
      </c>
    </row>
    <row r="32" spans="1:9" x14ac:dyDescent="0.3">
      <c r="A32" s="13" t="s">
        <v>26</v>
      </c>
      <c r="B32" s="12">
        <f>AVERAGEIF('Cleaned Data 2020 - 2024'!C:C,'Calculations 2'!A32,'Cleaned Data 2020 - 2024'!J:J)</f>
        <v>57916</v>
      </c>
      <c r="D32" s="1"/>
      <c r="E32" s="10" t="s">
        <v>90</v>
      </c>
      <c r="F32" s="1">
        <v>581640</v>
      </c>
      <c r="G32" s="1">
        <v>318620</v>
      </c>
      <c r="H32">
        <f>GETPIVOTDATA("Highest Happiness",$E$23,"Regional indicator","Sub-Saharan Africa")-GETPIVOTDATA("Lowest Happiness",$E$23,"Regional indicator","Sub-Saharan Africa")</f>
        <v>263020</v>
      </c>
    </row>
    <row r="33" spans="1:8" x14ac:dyDescent="0.3">
      <c r="A33" s="13" t="s">
        <v>47</v>
      </c>
      <c r="B33" s="12">
        <f>AVERAGEIF('Cleaned Data 2020 - 2024'!C:C,'Calculations 2'!A33,'Cleaned Data 2020 - 2024'!J:J)</f>
        <v>62063.320945945947</v>
      </c>
      <c r="D33" s="1"/>
      <c r="E33" s="10" t="s">
        <v>12</v>
      </c>
      <c r="F33" s="1">
        <v>774070</v>
      </c>
      <c r="G33" s="1">
        <v>602960</v>
      </c>
      <c r="H33">
        <f>GETPIVOTDATA("Highest Happiness",$E$23,"Regional indicator","Western Europe")-GETPIVOTDATA("Lowest Happiness",$E$23,"Regional indicator","Western Europe")</f>
        <v>171110</v>
      </c>
    </row>
    <row r="34" spans="1:8" x14ac:dyDescent="0.3">
      <c r="A34" s="13" t="s">
        <v>55</v>
      </c>
      <c r="B34" s="12">
        <f>AVERAGEIF('Cleaned Data 2020 - 2024'!C:C,'Calculations 2'!A34,'Cleaned Data 2020 - 2024'!J:J)</f>
        <v>55582.25</v>
      </c>
      <c r="D34" s="1"/>
      <c r="E34" s="10" t="s">
        <v>198</v>
      </c>
      <c r="F34" s="1">
        <v>774070</v>
      </c>
      <c r="G34" s="1">
        <v>172100</v>
      </c>
      <c r="H34" s="29">
        <f>SUM(H24:H33)</f>
        <v>2040190</v>
      </c>
    </row>
    <row r="35" spans="1:8" x14ac:dyDescent="0.3">
      <c r="A35" s="13" t="s">
        <v>39</v>
      </c>
      <c r="B35" s="12">
        <f>AVERAGEIF('Cleaned Data 2020 - 2024'!C:C,'Calculations 2'!A35,'Cleaned Data 2020 - 2024'!J:J)</f>
        <v>63178.804878048781</v>
      </c>
      <c r="D35" s="1"/>
    </row>
    <row r="36" spans="1:8" x14ac:dyDescent="0.3">
      <c r="A36" s="13" t="s">
        <v>62</v>
      </c>
      <c r="B36" s="12">
        <f>AVERAGEIF('Cleaned Data 2020 - 2024'!C:C,'Calculations 2'!A36,'Cleaned Data 2020 - 2024'!J:J)</f>
        <v>55808.020408163262</v>
      </c>
      <c r="D36" s="1"/>
    </row>
    <row r="37" spans="1:8" x14ac:dyDescent="0.3">
      <c r="A37" s="13" t="s">
        <v>90</v>
      </c>
      <c r="B37" s="12">
        <f>AVERAGEIF('Cleaned Data 2020 - 2024'!C:C,'Calculations 2'!A37,'Cleaned Data 2020 - 2024'!J:J)</f>
        <v>56684.902857142857</v>
      </c>
      <c r="D37" s="1"/>
    </row>
    <row r="38" spans="1:8" x14ac:dyDescent="0.3">
      <c r="A38" s="13" t="s">
        <v>99</v>
      </c>
      <c r="B38" s="12">
        <f>AVERAGEIF('Cleaned Data 2020 - 2024'!C:C,'Calculations 2'!A38,'Cleaned Data 2020 - 2024'!J:J)</f>
        <v>56274.866666666669</v>
      </c>
      <c r="D38" s="1"/>
    </row>
    <row r="39" spans="1:8" x14ac:dyDescent="0.3">
      <c r="D39" s="1"/>
    </row>
    <row r="40" spans="1:8" x14ac:dyDescent="0.3">
      <c r="D40" s="1"/>
    </row>
    <row r="41" spans="1:8" x14ac:dyDescent="0.3">
      <c r="A41" s="4" t="s">
        <v>2</v>
      </c>
      <c r="B41" s="4" t="s">
        <v>218</v>
      </c>
      <c r="D41" s="1"/>
      <c r="E41" s="16"/>
    </row>
    <row r="42" spans="1:8" x14ac:dyDescent="0.3">
      <c r="A42" s="13" t="s">
        <v>12</v>
      </c>
      <c r="B42" t="str">
        <f>_xlfn.XLOOKUP(_xlfn.MAXIFS('Cleaned Data 2020 - 2024'!L:L,'Cleaned Data 2020 - 2024'!C:C,'Calculations 2'!A42),'Cleaned Data 2020 - 2024'!L:L,'Cleaned Data 2020 - 2024'!B:B)</f>
        <v>Luxembourg</v>
      </c>
      <c r="D42" s="1"/>
      <c r="E42" s="16"/>
    </row>
    <row r="43" spans="1:8" x14ac:dyDescent="0.3">
      <c r="A43" s="13" t="s">
        <v>17</v>
      </c>
      <c r="B43" t="str">
        <f>_xlfn.XLOOKUP(_xlfn.MAXIFS('Cleaned Data 2020 - 2024'!L:L,'Cleaned Data 2020 - 2024'!C:C,'Calculations 2'!A43),'Cleaned Data 2020 - 2024'!L:L,'Cleaned Data 2020 - 2024'!B:B)</f>
        <v>United States</v>
      </c>
      <c r="D43" s="1"/>
      <c r="E43" s="16"/>
    </row>
    <row r="44" spans="1:8" x14ac:dyDescent="0.3">
      <c r="A44" s="13" t="s">
        <v>24</v>
      </c>
      <c r="B44" t="str">
        <f>_xlfn.XLOOKUP(_xlfn.MAXIFS('Cleaned Data 2020 - 2024'!L:L,'Cleaned Data 2020 - 2024'!C:C,'Calculations 2'!A44),'Cleaned Data 2020 - 2024'!L:L,'Cleaned Data 2020 - 2024'!B:B)</f>
        <v>United Arab Emirates</v>
      </c>
      <c r="D44" s="1"/>
      <c r="E44" s="16"/>
    </row>
    <row r="45" spans="1:8" x14ac:dyDescent="0.3">
      <c r="A45" s="13" t="s">
        <v>26</v>
      </c>
      <c r="B45" t="str">
        <f>_xlfn.XLOOKUP(_xlfn.MAXIFS('Cleaned Data 2020 - 2024'!L:L,'Cleaned Data 2020 - 2024'!C:C,'Calculations 2'!A45),'Cleaned Data 2020 - 2024'!L:L,'Cleaned Data 2020 - 2024'!B:B)</f>
        <v>Panama</v>
      </c>
      <c r="D45" s="1"/>
      <c r="E45" s="16"/>
    </row>
    <row r="46" spans="1:8" x14ac:dyDescent="0.3">
      <c r="A46" s="13" t="s">
        <v>47</v>
      </c>
      <c r="B46" t="str">
        <f>_xlfn.XLOOKUP(_xlfn.MAXIFS('Cleaned Data 2020 - 2024'!L:L,'Cleaned Data 2020 - 2024'!C:C,'Calculations 2'!A46),'Cleaned Data 2020 - 2024'!L:L,'Cleaned Data 2020 - 2024'!B:B)</f>
        <v>Slovenia</v>
      </c>
      <c r="D46" s="1"/>
      <c r="E46" s="16"/>
    </row>
    <row r="47" spans="1:8" x14ac:dyDescent="0.3">
      <c r="A47" s="13" t="s">
        <v>55</v>
      </c>
      <c r="B47" t="str">
        <f>_xlfn.XLOOKUP(_xlfn.MAXIFS('Cleaned Data 2020 - 2024'!L:L,'Cleaned Data 2020 - 2024'!C:C,'Calculations 2'!A47),'Cleaned Data 2020 - 2024'!L:L,'Cleaned Data 2020 - 2024'!B:B)</f>
        <v>Hong Kong S.A.R. of China</v>
      </c>
      <c r="D47" s="1"/>
      <c r="E47" s="16"/>
    </row>
    <row r="48" spans="1:8" x14ac:dyDescent="0.3">
      <c r="A48" s="13" t="s">
        <v>39</v>
      </c>
      <c r="B48" t="str">
        <f>_xlfn.XLOOKUP(_xlfn.MAXIFS('Cleaned Data 2020 - 2024'!L:L,'Cleaned Data 2020 - 2024'!C:C,'Calculations 2'!A48),'Cleaned Data 2020 - 2024'!L:L,'Cleaned Data 2020 - 2024'!B:B)</f>
        <v>Singapore</v>
      </c>
      <c r="D48" s="1"/>
      <c r="E48" s="16"/>
    </row>
    <row r="49" spans="1:5" x14ac:dyDescent="0.3">
      <c r="A49" s="13" t="s">
        <v>62</v>
      </c>
      <c r="B49" t="str">
        <f>_xlfn.XLOOKUP(_xlfn.MAXIFS('Cleaned Data 2020 - 2024'!L:L,'Cleaned Data 2020 - 2024'!C:C,'Calculations 2'!A49),'Cleaned Data 2020 - 2024'!L:L,'Cleaned Data 2020 - 2024'!B:B)</f>
        <v>Kazakhstan</v>
      </c>
      <c r="D49" s="1"/>
      <c r="E49" s="16"/>
    </row>
    <row r="50" spans="1:5" x14ac:dyDescent="0.3">
      <c r="A50" s="13" t="s">
        <v>90</v>
      </c>
      <c r="B50" t="str">
        <f>_xlfn.XLOOKUP(_xlfn.MAXIFS('Cleaned Data 2020 - 2024'!L:L,'Cleaned Data 2020 - 2024'!C:C,'Calculations 2'!A50),'Cleaned Data 2020 - 2024'!L:L,'Cleaned Data 2020 - 2024'!B:B)</f>
        <v>Cyprus</v>
      </c>
      <c r="D50" s="1"/>
      <c r="E50" s="16"/>
    </row>
    <row r="51" spans="1:5" x14ac:dyDescent="0.3">
      <c r="A51" s="13" t="s">
        <v>99</v>
      </c>
      <c r="B51" t="str">
        <f>_xlfn.XLOOKUP(_xlfn.MAXIFS('Cleaned Data 2020 - 2024'!L:L,'Cleaned Data 2020 - 2024'!C:C,'Calculations 2'!A51),'Cleaned Data 2020 - 2024'!L:L,'Cleaned Data 2020 - 2024'!B:B)</f>
        <v>Sri Lanka</v>
      </c>
      <c r="D51" s="1"/>
      <c r="E51" s="16"/>
    </row>
    <row r="52" spans="1:5" x14ac:dyDescent="0.3">
      <c r="D52" s="1"/>
      <c r="E52" s="16"/>
    </row>
    <row r="53" spans="1:5" x14ac:dyDescent="0.3">
      <c r="A53" s="4" t="s">
        <v>2</v>
      </c>
      <c r="B53" s="4" t="s">
        <v>219</v>
      </c>
      <c r="D53" s="1" t="s">
        <v>227</v>
      </c>
      <c r="E53" s="16"/>
    </row>
    <row r="54" spans="1:5" x14ac:dyDescent="0.3">
      <c r="A54" s="13" t="s">
        <v>12</v>
      </c>
      <c r="B54" s="12">
        <f>AVERAGEIF('Cleaned Data 2020 - 2024'!C:C,'Calculations 2'!A54,'Cleaned Data 2020 - 2024'!I:I)</f>
        <v>36783.449541284404</v>
      </c>
      <c r="D54" s="1"/>
      <c r="E54" s="16"/>
    </row>
    <row r="55" spans="1:5" x14ac:dyDescent="0.3">
      <c r="A55" s="13" t="s">
        <v>17</v>
      </c>
      <c r="B55" s="12">
        <f>AVERAGEIF('Cleaned Data 2020 - 2024'!C:C,'Calculations 2'!A55,'Cleaned Data 2020 - 2024'!I:I)</f>
        <v>52643.65</v>
      </c>
      <c r="D55" s="1"/>
      <c r="E55" s="16"/>
    </row>
    <row r="56" spans="1:5" x14ac:dyDescent="0.3">
      <c r="A56" s="13" t="s">
        <v>24</v>
      </c>
      <c r="B56" s="12">
        <f>AVERAGEIF('Cleaned Data 2020 - 2024'!C:C,'Calculations 2'!A56,'Cleaned Data 2020 - 2024'!I:I)</f>
        <v>23453.744444444445</v>
      </c>
      <c r="D56" s="1"/>
      <c r="E56" s="16"/>
    </row>
    <row r="57" spans="1:5" x14ac:dyDescent="0.3">
      <c r="A57" s="13" t="s">
        <v>26</v>
      </c>
      <c r="B57" s="12">
        <f>AVERAGEIF('Cleaned Data 2020 - 2024'!C:C,'Calculations 2'!A57,'Cleaned Data 2020 - 2024'!I:I)</f>
        <v>26028.571428571428</v>
      </c>
      <c r="D57" s="1"/>
      <c r="E57" s="16"/>
    </row>
    <row r="58" spans="1:5" x14ac:dyDescent="0.3">
      <c r="A58" s="13" t="s">
        <v>47</v>
      </c>
      <c r="B58" s="12">
        <f>AVERAGEIF('Cleaned Data 2020 - 2024'!C:C,'Calculations 2'!A58,'Cleaned Data 2020 - 2024'!I:I)</f>
        <v>30567.54054054054</v>
      </c>
      <c r="D58" s="1"/>
      <c r="E58" s="16"/>
    </row>
    <row r="59" spans="1:5" x14ac:dyDescent="0.3">
      <c r="A59" s="13" t="s">
        <v>55</v>
      </c>
      <c r="B59" s="12">
        <f>AVERAGEIF('Cleaned Data 2020 - 2024'!C:C,'Calculations 2'!A59,'Cleaned Data 2020 - 2024'!I:I)</f>
        <v>30189.361111111109</v>
      </c>
      <c r="D59" s="1"/>
      <c r="E59" s="16"/>
    </row>
    <row r="60" spans="1:5" x14ac:dyDescent="0.3">
      <c r="A60" s="13" t="s">
        <v>39</v>
      </c>
      <c r="B60" s="12">
        <f>AVERAGEIF('Cleaned Data 2020 - 2024'!C:C,'Calculations 2'!A60,'Cleaned Data 2020 - 2024'!I:I)</f>
        <v>55030.609756097561</v>
      </c>
      <c r="D60" s="1"/>
      <c r="E60" s="16"/>
    </row>
    <row r="61" spans="1:5" x14ac:dyDescent="0.3">
      <c r="A61" s="13" t="s">
        <v>62</v>
      </c>
      <c r="B61" s="12">
        <f>AVERAGEIF('Cleaned Data 2020 - 2024'!C:C,'Calculations 2'!A61,'Cleaned Data 2020 - 2024'!I:I)</f>
        <v>31984.734693877552</v>
      </c>
      <c r="D61" s="1"/>
      <c r="E61" s="16"/>
    </row>
    <row r="62" spans="1:5" x14ac:dyDescent="0.3">
      <c r="A62" s="13" t="s">
        <v>90</v>
      </c>
      <c r="B62" s="12">
        <f>AVERAGEIF('Cleaned Data 2020 - 2024'!C:C,'Calculations 2'!A62,'Cleaned Data 2020 - 2024'!I:I)</f>
        <v>36616.274285714288</v>
      </c>
      <c r="D62" s="1"/>
      <c r="E62" s="16"/>
    </row>
    <row r="63" spans="1:5" x14ac:dyDescent="0.3">
      <c r="A63" s="13" t="s">
        <v>99</v>
      </c>
      <c r="B63" s="12">
        <f>AVERAGEIF('Cleaned Data 2020 - 2024'!C:C,'Calculations 2'!A63,'Cleaned Data 2020 - 2024'!I:I)</f>
        <v>37302.666666666664</v>
      </c>
      <c r="D63" s="1"/>
      <c r="E63" s="16"/>
    </row>
    <row r="64" spans="1:5" x14ac:dyDescent="0.3">
      <c r="D64" s="1"/>
      <c r="E64" s="16"/>
    </row>
    <row r="65" spans="4:5" x14ac:dyDescent="0.3">
      <c r="D65" s="1"/>
      <c r="E65" s="16"/>
    </row>
    <row r="66" spans="4:5" x14ac:dyDescent="0.3">
      <c r="D66" s="1"/>
      <c r="E66" s="16"/>
    </row>
    <row r="67" spans="4:5" x14ac:dyDescent="0.3">
      <c r="D67" s="1"/>
      <c r="E67" s="16"/>
    </row>
    <row r="68" spans="4:5" x14ac:dyDescent="0.3">
      <c r="D68" s="1"/>
      <c r="E68" s="16"/>
    </row>
    <row r="69" spans="4:5" x14ac:dyDescent="0.3">
      <c r="D69" s="1"/>
      <c r="E69" s="16"/>
    </row>
    <row r="70" spans="4:5" x14ac:dyDescent="0.3">
      <c r="D70" s="1"/>
      <c r="E70" s="16"/>
    </row>
    <row r="71" spans="4:5" x14ac:dyDescent="0.3">
      <c r="D71" s="1"/>
      <c r="E71" s="16"/>
    </row>
    <row r="72" spans="4:5" x14ac:dyDescent="0.3">
      <c r="D72" s="1"/>
      <c r="E72" s="16"/>
    </row>
    <row r="73" spans="4:5" x14ac:dyDescent="0.3">
      <c r="D73" s="1"/>
      <c r="E73" s="16"/>
    </row>
    <row r="74" spans="4:5" x14ac:dyDescent="0.3">
      <c r="D74" s="1"/>
      <c r="E74" s="16"/>
    </row>
    <row r="75" spans="4:5" x14ac:dyDescent="0.3">
      <c r="D75" s="1"/>
      <c r="E75" s="16"/>
    </row>
    <row r="76" spans="4:5" x14ac:dyDescent="0.3">
      <c r="D76" s="1"/>
      <c r="E76" s="16"/>
    </row>
    <row r="77" spans="4:5" x14ac:dyDescent="0.3">
      <c r="D77" s="1"/>
      <c r="E77" s="16"/>
    </row>
    <row r="78" spans="4:5" x14ac:dyDescent="0.3">
      <c r="D78" s="1"/>
      <c r="E78" s="16"/>
    </row>
    <row r="79" spans="4:5" x14ac:dyDescent="0.3">
      <c r="D79" s="1"/>
      <c r="E79" s="16"/>
    </row>
    <row r="80" spans="4:5" x14ac:dyDescent="0.3">
      <c r="D80" s="1"/>
      <c r="E80" s="16"/>
    </row>
    <row r="81" spans="4:5" x14ac:dyDescent="0.3">
      <c r="D81" s="1"/>
      <c r="E81" s="16"/>
    </row>
    <row r="82" spans="4:5" x14ac:dyDescent="0.3">
      <c r="D82" s="1"/>
      <c r="E82" s="16"/>
    </row>
    <row r="83" spans="4:5" x14ac:dyDescent="0.3">
      <c r="D83" s="1"/>
      <c r="E83" s="16"/>
    </row>
    <row r="84" spans="4:5" x14ac:dyDescent="0.3">
      <c r="D84" s="1"/>
      <c r="E84" s="16"/>
    </row>
    <row r="85" spans="4:5" x14ac:dyDescent="0.3">
      <c r="D85" s="1"/>
      <c r="E85" s="16"/>
    </row>
    <row r="86" spans="4:5" x14ac:dyDescent="0.3">
      <c r="D86" s="1"/>
      <c r="E86" s="16"/>
    </row>
    <row r="87" spans="4:5" x14ac:dyDescent="0.3">
      <c r="D87" s="1"/>
      <c r="E87" s="16"/>
    </row>
    <row r="88" spans="4:5" x14ac:dyDescent="0.3">
      <c r="D88" s="1"/>
      <c r="E88" s="16"/>
    </row>
    <row r="89" spans="4:5" x14ac:dyDescent="0.3">
      <c r="D89" s="1"/>
      <c r="E89" s="16"/>
    </row>
    <row r="90" spans="4:5" x14ac:dyDescent="0.3">
      <c r="D90" s="1"/>
      <c r="E90" s="16"/>
    </row>
    <row r="91" spans="4:5" x14ac:dyDescent="0.3">
      <c r="D91" s="1"/>
      <c r="E91" s="16"/>
    </row>
    <row r="92" spans="4:5" x14ac:dyDescent="0.3">
      <c r="D92" s="1"/>
      <c r="E92" s="16"/>
    </row>
    <row r="93" spans="4:5" x14ac:dyDescent="0.3">
      <c r="D93" s="1"/>
      <c r="E93" s="16"/>
    </row>
    <row r="94" spans="4:5" x14ac:dyDescent="0.3">
      <c r="D94" s="1"/>
      <c r="E94" s="16"/>
    </row>
    <row r="95" spans="4:5" x14ac:dyDescent="0.3">
      <c r="D95" s="1"/>
      <c r="E95" s="16"/>
    </row>
    <row r="96" spans="4:5" x14ac:dyDescent="0.3">
      <c r="D96" s="1"/>
      <c r="E96" s="16"/>
    </row>
    <row r="97" spans="4:5" x14ac:dyDescent="0.3">
      <c r="D97" s="1"/>
      <c r="E97" s="16"/>
    </row>
    <row r="98" spans="4:5" x14ac:dyDescent="0.3">
      <c r="D98" s="1"/>
      <c r="E98" s="16"/>
    </row>
    <row r="99" spans="4:5" x14ac:dyDescent="0.3">
      <c r="D99" s="1"/>
      <c r="E99" s="16"/>
    </row>
    <row r="100" spans="4:5" x14ac:dyDescent="0.3">
      <c r="D100" s="1"/>
      <c r="E100" s="16"/>
    </row>
    <row r="101" spans="4:5" x14ac:dyDescent="0.3">
      <c r="D101" s="1"/>
      <c r="E101" s="16"/>
    </row>
    <row r="102" spans="4:5" x14ac:dyDescent="0.3">
      <c r="D102" s="1"/>
      <c r="E102" s="16"/>
    </row>
    <row r="103" spans="4:5" x14ac:dyDescent="0.3">
      <c r="D103" s="1"/>
      <c r="E103" s="16"/>
    </row>
    <row r="104" spans="4:5" x14ac:dyDescent="0.3">
      <c r="D104" s="1"/>
      <c r="E104" s="16"/>
    </row>
    <row r="105" spans="4:5" x14ac:dyDescent="0.3">
      <c r="D105" s="1"/>
      <c r="E105" s="16"/>
    </row>
    <row r="106" spans="4:5" x14ac:dyDescent="0.3">
      <c r="D106" s="1"/>
      <c r="E106" s="16"/>
    </row>
    <row r="107" spans="4:5" x14ac:dyDescent="0.3">
      <c r="D107" s="1"/>
      <c r="E107" s="16"/>
    </row>
    <row r="108" spans="4:5" x14ac:dyDescent="0.3">
      <c r="D108" s="1"/>
      <c r="E108" s="16"/>
    </row>
    <row r="109" spans="4:5" x14ac:dyDescent="0.3">
      <c r="D109" s="1"/>
      <c r="E109" s="16"/>
    </row>
    <row r="110" spans="4:5" x14ac:dyDescent="0.3">
      <c r="D110" s="1"/>
      <c r="E110" s="16"/>
    </row>
    <row r="111" spans="4:5" x14ac:dyDescent="0.3">
      <c r="D111" s="1"/>
      <c r="E111" s="16"/>
    </row>
    <row r="112" spans="4:5" x14ac:dyDescent="0.3">
      <c r="D112" s="1"/>
      <c r="E112" s="16"/>
    </row>
    <row r="113" spans="4:5" x14ac:dyDescent="0.3">
      <c r="D113" s="1"/>
      <c r="E113" s="16"/>
    </row>
    <row r="114" spans="4:5" x14ac:dyDescent="0.3">
      <c r="D114" s="1"/>
      <c r="E114" s="16"/>
    </row>
    <row r="115" spans="4:5" x14ac:dyDescent="0.3">
      <c r="D115" s="1"/>
      <c r="E115" s="16"/>
    </row>
    <row r="116" spans="4:5" x14ac:dyDescent="0.3">
      <c r="D116" s="1"/>
      <c r="E116" s="16"/>
    </row>
    <row r="117" spans="4:5" x14ac:dyDescent="0.3">
      <c r="D117" s="1"/>
      <c r="E117" s="16"/>
    </row>
    <row r="118" spans="4:5" x14ac:dyDescent="0.3">
      <c r="D118" s="1"/>
      <c r="E118" s="16"/>
    </row>
    <row r="119" spans="4:5" x14ac:dyDescent="0.3">
      <c r="D119" s="1"/>
      <c r="E119" s="16"/>
    </row>
    <row r="120" spans="4:5" x14ac:dyDescent="0.3">
      <c r="D120" s="1"/>
      <c r="E120" s="16"/>
    </row>
    <row r="121" spans="4:5" x14ac:dyDescent="0.3">
      <c r="D121" s="1"/>
      <c r="E121" s="16"/>
    </row>
    <row r="122" spans="4:5" x14ac:dyDescent="0.3">
      <c r="D122" s="1"/>
      <c r="E122" s="16"/>
    </row>
    <row r="123" spans="4:5" x14ac:dyDescent="0.3">
      <c r="D123" s="1"/>
      <c r="E123" s="16"/>
    </row>
    <row r="124" spans="4:5" x14ac:dyDescent="0.3">
      <c r="D124" s="1"/>
      <c r="E124" s="16"/>
    </row>
    <row r="125" spans="4:5" x14ac:dyDescent="0.3">
      <c r="D125" s="1"/>
      <c r="E125" s="16"/>
    </row>
    <row r="126" spans="4:5" x14ac:dyDescent="0.3">
      <c r="D126" s="1"/>
      <c r="E126" s="16"/>
    </row>
    <row r="127" spans="4:5" x14ac:dyDescent="0.3">
      <c r="D127" s="1"/>
      <c r="E127" s="16"/>
    </row>
    <row r="128" spans="4:5" x14ac:dyDescent="0.3">
      <c r="D128" s="1"/>
      <c r="E128" s="16"/>
    </row>
    <row r="129" spans="4:5" x14ac:dyDescent="0.3">
      <c r="D129" s="1"/>
      <c r="E129" s="16"/>
    </row>
    <row r="130" spans="4:5" x14ac:dyDescent="0.3">
      <c r="D130" s="1"/>
      <c r="E130" s="16"/>
    </row>
    <row r="131" spans="4:5" x14ac:dyDescent="0.3">
      <c r="D131" s="1"/>
      <c r="E131" s="16"/>
    </row>
    <row r="132" spans="4:5" x14ac:dyDescent="0.3">
      <c r="D132" s="1"/>
      <c r="E132" s="16"/>
    </row>
    <row r="133" spans="4:5" x14ac:dyDescent="0.3">
      <c r="D133" s="1"/>
      <c r="E133" s="16"/>
    </row>
    <row r="134" spans="4:5" x14ac:dyDescent="0.3">
      <c r="D134" s="1"/>
      <c r="E134" s="16"/>
    </row>
    <row r="135" spans="4:5" x14ac:dyDescent="0.3">
      <c r="D135" s="1"/>
      <c r="E135" s="16"/>
    </row>
    <row r="136" spans="4:5" x14ac:dyDescent="0.3">
      <c r="D136" s="1"/>
      <c r="E136" s="16"/>
    </row>
    <row r="137" spans="4:5" x14ac:dyDescent="0.3">
      <c r="D137" s="1"/>
      <c r="E137" s="16"/>
    </row>
    <row r="138" spans="4:5" x14ac:dyDescent="0.3">
      <c r="D138" s="1"/>
      <c r="E138" s="16"/>
    </row>
    <row r="139" spans="4:5" x14ac:dyDescent="0.3">
      <c r="D139" s="1"/>
      <c r="E139" s="16"/>
    </row>
    <row r="140" spans="4:5" x14ac:dyDescent="0.3">
      <c r="D140" s="1"/>
      <c r="E140" s="16"/>
    </row>
    <row r="141" spans="4:5" x14ac:dyDescent="0.3">
      <c r="D141" s="1"/>
      <c r="E141" s="16"/>
    </row>
    <row r="142" spans="4:5" x14ac:dyDescent="0.3">
      <c r="D142" s="1"/>
      <c r="E142" s="16"/>
    </row>
    <row r="143" spans="4:5" x14ac:dyDescent="0.3">
      <c r="D143" s="1"/>
      <c r="E143" s="16"/>
    </row>
    <row r="144" spans="4:5" x14ac:dyDescent="0.3">
      <c r="D144" s="1"/>
      <c r="E144" s="16"/>
    </row>
    <row r="145" spans="4:5" x14ac:dyDescent="0.3">
      <c r="D145" s="1"/>
      <c r="E145" s="16"/>
    </row>
    <row r="146" spans="4:5" x14ac:dyDescent="0.3">
      <c r="D146" s="1"/>
      <c r="E146" s="16"/>
    </row>
    <row r="147" spans="4:5" x14ac:dyDescent="0.3">
      <c r="D147" s="1"/>
      <c r="E147" s="16"/>
    </row>
    <row r="148" spans="4:5" x14ac:dyDescent="0.3">
      <c r="D148" s="1"/>
      <c r="E148" s="16"/>
    </row>
    <row r="149" spans="4:5" x14ac:dyDescent="0.3">
      <c r="D149" s="1"/>
      <c r="E149" s="16"/>
    </row>
    <row r="150" spans="4:5" x14ac:dyDescent="0.3">
      <c r="D150" s="1"/>
      <c r="E150" s="16"/>
    </row>
    <row r="151" spans="4:5" x14ac:dyDescent="0.3">
      <c r="D151" s="1"/>
      <c r="E151" s="16"/>
    </row>
    <row r="152" spans="4:5" x14ac:dyDescent="0.3">
      <c r="D152" s="1"/>
      <c r="E152" s="16"/>
    </row>
    <row r="153" spans="4:5" x14ac:dyDescent="0.3">
      <c r="D153" s="1"/>
      <c r="E153" s="16"/>
    </row>
    <row r="154" spans="4:5" x14ac:dyDescent="0.3">
      <c r="D154" s="1"/>
      <c r="E154" s="16"/>
    </row>
    <row r="155" spans="4:5" x14ac:dyDescent="0.3">
      <c r="D155" s="1"/>
      <c r="E155" s="16"/>
    </row>
    <row r="156" spans="4:5" x14ac:dyDescent="0.3">
      <c r="D156" s="1"/>
      <c r="E156" s="16"/>
    </row>
    <row r="157" spans="4:5" x14ac:dyDescent="0.3">
      <c r="D157" s="1"/>
      <c r="E157" s="16"/>
    </row>
    <row r="158" spans="4:5" x14ac:dyDescent="0.3">
      <c r="D158" s="1"/>
      <c r="E158" s="16"/>
    </row>
    <row r="159" spans="4:5" x14ac:dyDescent="0.3">
      <c r="D159" s="1"/>
      <c r="E159" s="16"/>
    </row>
    <row r="160" spans="4:5" x14ac:dyDescent="0.3">
      <c r="D160" s="1"/>
      <c r="E160" s="16"/>
    </row>
    <row r="161" spans="4:5" x14ac:dyDescent="0.3">
      <c r="D161" s="1"/>
      <c r="E161" s="16"/>
    </row>
    <row r="162" spans="4:5" x14ac:dyDescent="0.3">
      <c r="D162" s="1"/>
      <c r="E162" s="16"/>
    </row>
    <row r="163" spans="4:5" x14ac:dyDescent="0.3">
      <c r="D163" s="1"/>
      <c r="E163" s="16"/>
    </row>
    <row r="164" spans="4:5" x14ac:dyDescent="0.3">
      <c r="D164" s="1"/>
      <c r="E164" s="16"/>
    </row>
    <row r="165" spans="4:5" x14ac:dyDescent="0.3">
      <c r="D165" s="1"/>
      <c r="E165" s="16"/>
    </row>
    <row r="166" spans="4:5" x14ac:dyDescent="0.3">
      <c r="D166" s="1"/>
      <c r="E166" s="16"/>
    </row>
    <row r="167" spans="4:5" x14ac:dyDescent="0.3">
      <c r="D167" s="1"/>
      <c r="E167" s="16"/>
    </row>
    <row r="168" spans="4:5" x14ac:dyDescent="0.3">
      <c r="D168" s="1"/>
      <c r="E168" s="16"/>
    </row>
    <row r="169" spans="4:5" x14ac:dyDescent="0.3">
      <c r="D169" s="1"/>
      <c r="E169" s="16"/>
    </row>
    <row r="170" spans="4:5" x14ac:dyDescent="0.3">
      <c r="D170" s="1"/>
      <c r="E170" s="16"/>
    </row>
    <row r="171" spans="4:5" x14ac:dyDescent="0.3">
      <c r="D171" s="1"/>
      <c r="E171" s="16"/>
    </row>
    <row r="172" spans="4:5" x14ac:dyDescent="0.3">
      <c r="D172" s="1"/>
      <c r="E172" s="16"/>
    </row>
    <row r="173" spans="4:5" x14ac:dyDescent="0.3">
      <c r="D173" s="1"/>
      <c r="E173" s="16"/>
    </row>
    <row r="174" spans="4:5" x14ac:dyDescent="0.3">
      <c r="D174" s="1"/>
      <c r="E174" s="16"/>
    </row>
    <row r="175" spans="4:5" x14ac:dyDescent="0.3">
      <c r="D175" s="1"/>
      <c r="E175" s="16"/>
    </row>
    <row r="176" spans="4:5" x14ac:dyDescent="0.3">
      <c r="D176" s="1"/>
      <c r="E176" s="16"/>
    </row>
  </sheetData>
  <conditionalFormatting sqref="F2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36B26-D909-4C86-A6CF-9E9248EC62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world_happiness_combined</vt:lpstr>
      <vt:lpstr>Cleaned Data 2020 - 2024</vt:lpstr>
      <vt:lpstr>Calculations</vt:lpstr>
      <vt:lpstr>Calculations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Handel Williams</dc:creator>
  <cp:lastModifiedBy>Handel Williams</cp:lastModifiedBy>
  <dcterms:created xsi:type="dcterms:W3CDTF">2025-11-28T01:41:24Z</dcterms:created>
  <dcterms:modified xsi:type="dcterms:W3CDTF">2025-12-10T15:59:01Z</dcterms:modified>
</cp:coreProperties>
</file>